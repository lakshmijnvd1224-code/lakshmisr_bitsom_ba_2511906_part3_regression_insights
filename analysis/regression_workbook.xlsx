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pe-my.sharepoint.com/personal/lakshmi_soppiner-ravindra_hpe_com/Documents/Desktop/MASAI notes/Capstone project/Part 3 Regression-Based Business Insights &amp; Model Interpretation/"/>
    </mc:Choice>
  </mc:AlternateContent>
  <xr:revisionPtr revIDLastSave="1642" documentId="8_{51743A19-144E-4ED8-B111-9BF20988F42B}" xr6:coauthVersionLast="47" xr6:coauthVersionMax="47" xr10:uidLastSave="{2F82FC09-D2CC-4265-A468-94482E3AF2E3}"/>
  <bookViews>
    <workbookView xWindow="-110" yWindow="-110" windowWidth="19420" windowHeight="11500" firstSheet="3" activeTab="6" xr2:uid="{00000000-000D-0000-FFFF-FFFF00000000}"/>
  </bookViews>
  <sheets>
    <sheet name="store_performance-Original Data" sheetId="1" r:id="rId1"/>
    <sheet name="Cleaned Data" sheetId="3" r:id="rId2"/>
    <sheet name="Dummy Variables" sheetId="4" r:id="rId3"/>
    <sheet name="Simple Regression" sheetId="5" r:id="rId4"/>
    <sheet name="Multiple Regression" sheetId="6" r:id="rId5"/>
    <sheet name="Model Comparison" sheetId="7" r:id="rId6"/>
    <sheet name="Residual Analysis" sheetId="10" r:id="rId7"/>
  </sheets>
  <definedNames>
    <definedName name="_xlnm._FilterDatabase" localSheetId="1" hidden="1">'Cleaned Data'!$A$1:$N$321</definedName>
    <definedName name="_xlnm._FilterDatabase" localSheetId="2" hidden="1">'Dummy Variables'!$A$1:$Q$321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0" l="1"/>
  <c r="N16" i="10"/>
  <c r="N17" i="10"/>
  <c r="N18" i="10"/>
  <c r="N14" i="10"/>
  <c r="M15" i="10"/>
  <c r="M16" i="10"/>
  <c r="M17" i="10"/>
  <c r="M18" i="10"/>
  <c r="M14" i="10"/>
  <c r="L15" i="10"/>
  <c r="L16" i="10"/>
  <c r="L17" i="10"/>
  <c r="L18" i="10"/>
  <c r="L14" i="10"/>
  <c r="K15" i="10"/>
  <c r="K16" i="10"/>
  <c r="K17" i="10"/>
  <c r="K18" i="10"/>
  <c r="K14" i="10"/>
  <c r="J15" i="10"/>
  <c r="J16" i="10"/>
  <c r="J17" i="10"/>
  <c r="J18" i="10"/>
  <c r="J14" i="10"/>
  <c r="I15" i="10"/>
  <c r="I16" i="10"/>
  <c r="I17" i="10"/>
  <c r="I18" i="10"/>
  <c r="I14" i="10"/>
  <c r="O18" i="10"/>
  <c r="O17" i="10"/>
  <c r="O16" i="10"/>
  <c r="O15" i="10"/>
  <c r="O14" i="10"/>
  <c r="N6" i="10"/>
  <c r="N7" i="10"/>
  <c r="N8" i="10"/>
  <c r="N9" i="10"/>
  <c r="N5" i="10"/>
  <c r="M6" i="10"/>
  <c r="M7" i="10"/>
  <c r="M8" i="10"/>
  <c r="M9" i="10"/>
  <c r="M5" i="10"/>
  <c r="L6" i="10"/>
  <c r="L7" i="10"/>
  <c r="L8" i="10"/>
  <c r="L9" i="10"/>
  <c r="L5" i="10"/>
  <c r="K6" i="10"/>
  <c r="K7" i="10"/>
  <c r="K8" i="10"/>
  <c r="K9" i="10"/>
  <c r="K5" i="10"/>
  <c r="J6" i="10"/>
  <c r="J7" i="10"/>
  <c r="J8" i="10"/>
  <c r="J9" i="10"/>
  <c r="J5" i="10"/>
  <c r="I7" i="10"/>
  <c r="I8" i="10"/>
  <c r="I9" i="10"/>
  <c r="I6" i="10"/>
  <c r="I5" i="10"/>
  <c r="O9" i="10"/>
  <c r="O8" i="10"/>
  <c r="O7" i="10"/>
  <c r="O6" i="10"/>
  <c r="O5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4" i="10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2" i="6"/>
  <c r="Q16" i="3"/>
  <c r="Q15" i="3"/>
  <c r="Q14" i="3"/>
  <c r="Q13" i="3"/>
  <c r="Q12" i="3"/>
  <c r="Q11" i="3"/>
  <c r="Q10" i="3"/>
  <c r="Q9" i="3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2" i="4"/>
  <c r="P4" i="3"/>
  <c r="P3" i="3"/>
  <c r="P2" i="3"/>
  <c r="P1" i="3"/>
</calcChain>
</file>

<file path=xl/sharedStrings.xml><?xml version="1.0" encoding="utf-8"?>
<sst xmlns="http://schemas.openxmlformats.org/spreadsheetml/2006/main" count="3098" uniqueCount="174">
  <si>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</si>
  <si>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</si>
  <si>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</si>
  <si>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</si>
  <si>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</si>
  <si>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</si>
  <si>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</si>
  <si>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</si>
  <si>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</si>
  <si>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</si>
  <si>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</si>
  <si>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</si>
  <si>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</si>
  <si>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</si>
  <si>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</si>
  <si>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</si>
  <si>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</si>
  <si>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</si>
  <si>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</si>
  <si>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</si>
  <si>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</si>
  <si>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</si>
  <si>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</si>
  <si>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</si>
  <si>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</si>
  <si>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</si>
  <si>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</si>
  <si>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</si>
  <si>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</si>
  <si>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</si>
  <si>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</si>
  <si>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</si>
  <si>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</si>
  <si>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</si>
  <si>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</si>
  <si>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</si>
  <si>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</si>
  <si>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</si>
  <si>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</si>
  <si>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</si>
  <si>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</si>
  <si>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</si>
  <si>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</si>
  <si>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</si>
  <si>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</si>
  <si>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</si>
  <si>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</si>
  <si>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</si>
  <si>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</si>
  <si>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</si>
  <si>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</si>
  <si>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</si>
  <si>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</si>
  <si>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</si>
  <si>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</si>
  <si>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</si>
  <si>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</si>
  <si>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</si>
  <si>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</si>
  <si>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</si>
  <si>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</si>
  <si>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</si>
  <si>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</si>
  <si>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</si>
  <si>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</si>
  <si>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</si>
  <si>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</si>
  <si>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</si>
  <si>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</si>
  <si>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</si>
  <si>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</si>
  <si>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</si>
  <si>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</si>
  <si>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</si>
  <si>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</si>
  <si>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</si>
  <si>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</si>
  <si>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</si>
  <si>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</si>
  <si>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</si>
  <si>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</si>
  <si>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</si>
  <si>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</si>
  <si>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</si>
  <si>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</si>
  <si>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</si>
  <si>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</si>
  <si>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</si>
  <si>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</si>
  <si>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</si>
  <si>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</si>
  <si>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</si>
  <si>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</si>
  <si>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</si>
  <si>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</si>
  <si>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</si>
  <si>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</si>
  <si>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</si>
  <si>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</si>
  <si>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</si>
  <si>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</si>
  <si>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</si>
  <si>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customer_rating avg</t>
  </si>
  <si>
    <t>competitor_distance avg</t>
  </si>
  <si>
    <t>Count of competitor_distance rows</t>
  </si>
  <si>
    <t>Count of customer_rating rows</t>
  </si>
  <si>
    <t>region_North</t>
  </si>
  <si>
    <t>region_South</t>
  </si>
  <si>
    <t>region_West</t>
  </si>
  <si>
    <t>store_High Street</t>
  </si>
  <si>
    <t>store_Mall</t>
  </si>
  <si>
    <t>store_Residential</t>
  </si>
  <si>
    <t>=== DATA SUMMARY ===</t>
  </si>
  <si>
    <t>CORRELATION WITH MONTHLY_SALES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</si>
  <si>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</si>
  <si>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</si>
  <si>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</si>
  <si>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</si>
  <si>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</si>
  <si>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</si>
  <si>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</si>
  <si>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</si>
  <si>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</si>
  <si>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</si>
  <si>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</si>
  <si>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</si>
  <si>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</si>
  <si>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</si>
  <si>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</si>
  <si>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</si>
  <si>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</si>
  <si>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</si>
  <si>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</si>
  <si>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</si>
  <si>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</si>
  <si>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</si>
  <si>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</si>
  <si>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</si>
  <si>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</si>
  <si>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</si>
  <si>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Residuals</t>
  </si>
  <si>
    <t>MODEL 1: Simple Regression — monthly_sales vs footfall</t>
  </si>
  <si>
    <t>MODEL 2: Simple Regression — monthly_sales vs marketing_spend</t>
  </si>
  <si>
    <t>Predicted monthly_sales</t>
  </si>
  <si>
    <t>Model</t>
  </si>
  <si>
    <t>Model 1 - Simple</t>
  </si>
  <si>
    <t>Model 2 - Simple</t>
  </si>
  <si>
    <t>Model 3 - Multiple</t>
  </si>
  <si>
    <t>MODEL COMPARISON</t>
  </si>
  <si>
    <t>Dependent Variable</t>
  </si>
  <si>
    <t>Independent Variables</t>
  </si>
  <si>
    <t>Significant Variables</t>
  </si>
  <si>
    <t>Non-Significant Variables</t>
  </si>
  <si>
    <t>P-value (main variable)</t>
  </si>
  <si>
    <t>Business Usefulness</t>
  </si>
  <si>
    <t>Limitation</t>
  </si>
  <si>
    <t>None</t>
  </si>
  <si>
    <t>High - footfall strongly predicts sales</t>
  </si>
  <si>
    <t>Only 1 variable - misses other factors</t>
  </si>
  <si>
    <t>Moderate — marketing spend shows positive ROI of 1.14x but weak predictor</t>
  </si>
  <si>
    <t>Only explains 16.8% of sales — many other factors missing</t>
  </si>
  <si>
    <t>footfall, staff_count, marketing_spend, holiday_flag, region_North, region_South, region_West</t>
  </si>
  <si>
    <t>footfall, marketing_spend, region_South, region_West</t>
  </si>
  <si>
    <t>staff_count, holiday_flag, region_North</t>
  </si>
  <si>
    <t>Best model — explains 79.4% of sales using multiple factors</t>
  </si>
  <si>
    <t>Assumes linear relationships — does not capture store size or seasonal trends</t>
  </si>
  <si>
    <t>RESIDUAL ANALYSIS — Final Model (Multiple Regression)</t>
  </si>
  <si>
    <t>Actual Sales</t>
  </si>
  <si>
    <t>Predicted Sales</t>
  </si>
  <si>
    <t>Store_ID</t>
  </si>
  <si>
    <t>Region</t>
  </si>
  <si>
    <t>Store Type</t>
  </si>
  <si>
    <t>TOP 5 LARGEST POSITIVE RESIDUALS</t>
  </si>
  <si>
    <t>TOP 5 LARGEST NEGATIVE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</si>
</sst>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4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b/>
      <sz val="11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1" fillId="5" borderId="0" xfId="0" applyFont="1" applyFill="1" applyAlignment="1">
      <alignment horizontal="center" vertical="center" wrapText="1"/>
    </xf>
    <xf numFmtId="0" fontId="0" fillId="7" borderId="0" xfId="0" applyFill="1"/>
    <xf numFmtId="0" fontId="0" fillId="8" borderId="0" xfId="0" applyFill="1"/>
    <xf numFmtId="2" fontId="0" fillId="0" borderId="0" xfId="0" applyNumberFormat="1"/>
    <xf numFmtId="0" fontId="0" fillId="0" borderId="1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9" borderId="0" xfId="0" applyFill="1"/>
    <xf numFmtId="0" fontId="2" fillId="7" borderId="3" xfId="0" applyFont="1" applyFill="1" applyBorder="1" applyAlignment="1">
      <alignment horizontal="centerContinuous"/>
    </xf>
    <xf numFmtId="0" fontId="0" fillId="10" borderId="0" xfId="0" applyFill="1"/>
    <xf numFmtId="0" fontId="3" fillId="9" borderId="0" xfId="0" applyFont="1" applyFill="1"/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1" fillId="5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left" wrapText="1"/>
    </xf>
    <xf numFmtId="3" fontId="0" fillId="0" borderId="4" xfId="0" applyNumberFormat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2" fillId="7" borderId="3" xfId="0" applyFont="1" applyFill="1" applyBorder="1" applyAlignment="1">
      <alignment horizontal="center"/>
    </xf>
    <xf numFmtId="0" fontId="0" fillId="0" borderId="4" xfId="0" applyBorder="1"/>
    <xf numFmtId="0" fontId="3" fillId="7" borderId="4" xfId="0" applyFont="1" applyFill="1" applyBorder="1"/>
    <xf numFmtId="0" fontId="0" fillId="0" borderId="4" xfId="0" applyBorder="1" applyAlignment="1">
      <alignment horizontal="left"/>
    </xf>
    <xf numFmtId="0" fontId="3" fillId="11" borderId="0" xfId="0" applyFont="1" applyFill="1"/>
    <xf numFmtId="0" fontId="3" fillId="12" borderId="0" xfId="0" applyFont="1" applyFill="1"/>
    <xf numFmtId="0" fontId="1" fillId="2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164" fontId="0" fillId="0" borderId="4" xfId="0" applyNumberFormat="1" applyBorder="1"/>
    <xf numFmtId="11" fontId="0" fillId="12" borderId="1" xfId="0" applyNumberFormat="1" applyFill="1" applyBorder="1" applyAlignment="1"/>
    <xf numFmtId="0" fontId="0" fillId="12" borderId="2" xfId="0" applyFill="1" applyBorder="1" applyAlignment="1"/>
    <xf numFmtId="0" fontId="0" fillId="12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00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workbookViewId="0">
      <selection activeCell="B17" sqref="B17"/>
    </sheetView>
  </sheetViews>
  <sheetFormatPr defaultRowHeight="14"/>
  <cols>
    <col min="1" max="14" width="16" customWidth="1"/>
  </cols>
  <sheetData>
    <row r="1" spans="1:14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0052-A4D6-436A-9945-4CC8F2EB03C2}">
  <dimension ref="A1:Q321"/>
  <sheetViews>
    <sheetView workbookViewId="0">
      <selection activeCell="F6" sqref="F6"/>
    </sheetView>
  </sheetViews>
  <sheetFormatPr defaultRowHeight="14"/>
  <cols>
    <col min="1" max="14" width="16" customWidth="1"/>
    <col min="16" max="16" width="17.33203125" customWidth="1"/>
    <col min="17" max="17" width="30.4140625" customWidth="1"/>
  </cols>
  <sheetData>
    <row r="1" spans="1:17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3">
        <f>AVERAGE(J2:J321)</f>
        <v>4.5590625000000005</v>
      </c>
      <c r="Q1" s="3" t="s">
        <v>103</v>
      </c>
    </row>
    <row r="2" spans="1:17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P2" s="4">
        <f>AVERAGE(L2:L321)</f>
        <v>3.9245625000000004</v>
      </c>
      <c r="Q2" s="4" t="s">
        <v>102</v>
      </c>
    </row>
    <row r="3" spans="1:17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P3" s="3">
        <f>COUNTA(J2:J321)</f>
        <v>320</v>
      </c>
      <c r="Q3" s="3" t="s">
        <v>104</v>
      </c>
    </row>
    <row r="4" spans="1:17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P4" s="4">
        <f>COUNTA(L2:L321)</f>
        <v>320</v>
      </c>
      <c r="Q4" s="4" t="s">
        <v>105</v>
      </c>
    </row>
    <row r="5" spans="1:17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7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7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P7" s="6" t="s">
        <v>112</v>
      </c>
      <c r="Q7" s="6"/>
    </row>
    <row r="8" spans="1:17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P8" s="7" t="s">
        <v>113</v>
      </c>
      <c r="Q8" s="7"/>
    </row>
    <row r="9" spans="1:17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  <c r="P9" t="s">
        <v>4</v>
      </c>
      <c r="Q9" s="8">
        <f>CORREL(E2:E321,M2:M321)</f>
        <v>0.40895561021322341</v>
      </c>
    </row>
    <row r="10" spans="1:17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  <c r="P10" t="s">
        <v>5</v>
      </c>
      <c r="Q10" s="8">
        <f>CORREL(F2:F321,M2:M321)</f>
        <v>0.85807070804410501</v>
      </c>
    </row>
    <row r="11" spans="1:17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  <c r="P11" t="s">
        <v>6</v>
      </c>
      <c r="Q11" s="8">
        <f>CORREL(G2:G321,M2:M321)</f>
        <v>-9.1052199448450194E-2</v>
      </c>
    </row>
    <row r="12" spans="1:17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  <c r="P12" t="s">
        <v>7</v>
      </c>
      <c r="Q12" s="8">
        <f>CORREL(H2:H321,M2:M321)</f>
        <v>0.80764500059632516</v>
      </c>
    </row>
    <row r="13" spans="1:17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  <c r="P13" t="s">
        <v>8</v>
      </c>
      <c r="Q13" s="8">
        <f>CORREL(I2:I321,M2:M321)</f>
        <v>0.11452081018052726</v>
      </c>
    </row>
    <row r="14" spans="1:17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  <c r="P14" t="s">
        <v>9</v>
      </c>
      <c r="Q14" s="8">
        <f>CORREL(J2:J321,M2:M321)</f>
        <v>-0.10931540753164429</v>
      </c>
    </row>
    <row r="15" spans="1:17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  <c r="P15" t="s">
        <v>10</v>
      </c>
      <c r="Q15" s="8">
        <f>CORREL(K2:K321,M2:M321)</f>
        <v>0.19526539490199812</v>
      </c>
    </row>
    <row r="16" spans="1:17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  <c r="P16" t="s">
        <v>11</v>
      </c>
      <c r="Q16" s="8">
        <f>CORREL(L2:L321,M2:M321)</f>
        <v>-2.7081836545309552E-2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3.92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4.5599999999999996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3.92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4.5599999999999996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3.92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3.92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4.5599999999999996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3.92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3.92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4.5599999999999996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4.5599999999999996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4.5599999999999996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3.92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3.92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autoFilter ref="A1:N321" xr:uid="{83A90052-A4D6-436A-9945-4CC8F2EB03C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5E0FE-656A-4CCD-AD3C-6240FA814F73}">
  <dimension ref="A1:T321"/>
  <sheetViews>
    <sheetView topLeftCell="G1" workbookViewId="0">
      <selection activeCell="P14" sqref="P14"/>
    </sheetView>
  </sheetViews>
  <sheetFormatPr defaultRowHeight="14"/>
  <cols>
    <col min="15" max="15" width="13.5" customWidth="1"/>
    <col min="16" max="16" width="12.58203125" customWidth="1"/>
    <col min="17" max="17" width="13.6640625" customWidth="1"/>
    <col min="18" max="18" width="13.75" customWidth="1"/>
    <col min="19" max="19" width="13.1640625" customWidth="1"/>
    <col min="20" max="20" width="16.1640625" customWidth="1"/>
  </cols>
  <sheetData>
    <row r="1" spans="1:20" ht="42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18" t="s">
        <v>106</v>
      </c>
      <c r="P1" s="18" t="s">
        <v>107</v>
      </c>
      <c r="Q1" s="18" t="s">
        <v>108</v>
      </c>
      <c r="R1" s="31" t="s">
        <v>109</v>
      </c>
      <c r="S1" s="31" t="s">
        <v>110</v>
      </c>
      <c r="T1" s="31" t="s">
        <v>111</v>
      </c>
    </row>
    <row r="2" spans="1:20">
      <c r="A2" s="25" t="s">
        <v>14</v>
      </c>
      <c r="B2" s="32">
        <v>45658</v>
      </c>
      <c r="C2" s="25" t="s">
        <v>15</v>
      </c>
      <c r="D2" s="25" t="s">
        <v>16</v>
      </c>
      <c r="E2" s="25">
        <v>70389.11</v>
      </c>
      <c r="F2" s="25">
        <v>8302</v>
      </c>
      <c r="G2" s="25">
        <v>4.2000000000000003E-2</v>
      </c>
      <c r="H2" s="25">
        <v>17</v>
      </c>
      <c r="I2" s="25">
        <v>75</v>
      </c>
      <c r="J2" s="25">
        <v>5.28</v>
      </c>
      <c r="K2" s="25">
        <v>1</v>
      </c>
      <c r="L2" s="25">
        <v>3.1</v>
      </c>
      <c r="M2" s="25">
        <v>658832.62</v>
      </c>
      <c r="N2" s="25">
        <v>84349.93</v>
      </c>
      <c r="O2" s="25">
        <f>IF(C2="North",1,0)</f>
        <v>0</v>
      </c>
      <c r="P2" s="25">
        <f>IF(C2="South",1,0)</f>
        <v>0</v>
      </c>
      <c r="Q2" s="25">
        <f>IF(C2="West",1,0)</f>
        <v>0</v>
      </c>
      <c r="R2" s="25">
        <f>IF(D2="High Street",1,0)</f>
        <v>0</v>
      </c>
      <c r="S2" s="25">
        <f>IF(D2="Mall",1,0)</f>
        <v>0</v>
      </c>
      <c r="T2" s="25">
        <f>IF(D2="Residential",1,0)</f>
        <v>1</v>
      </c>
    </row>
    <row r="3" spans="1:20">
      <c r="A3" s="25" t="s">
        <v>14</v>
      </c>
      <c r="B3" s="32">
        <v>45689</v>
      </c>
      <c r="C3" s="25" t="s">
        <v>15</v>
      </c>
      <c r="D3" s="25" t="s">
        <v>16</v>
      </c>
      <c r="E3" s="25">
        <v>43827.89</v>
      </c>
      <c r="F3" s="25">
        <v>8487</v>
      </c>
      <c r="G3" s="25">
        <v>0.16800000000000001</v>
      </c>
      <c r="H3" s="25">
        <v>23</v>
      </c>
      <c r="I3" s="25">
        <v>84.4</v>
      </c>
      <c r="J3" s="25">
        <v>4.3099999999999996</v>
      </c>
      <c r="K3" s="25">
        <v>0</v>
      </c>
      <c r="L3" s="25">
        <v>2.8</v>
      </c>
      <c r="M3" s="25">
        <v>634436</v>
      </c>
      <c r="N3" s="25">
        <v>106130.54</v>
      </c>
      <c r="O3" s="25">
        <f t="shared" ref="O3:O66" si="0">IF(C3="North",1,0)</f>
        <v>0</v>
      </c>
      <c r="P3" s="25">
        <f t="shared" ref="P3:P66" si="1">IF(C3="South",1,0)</f>
        <v>0</v>
      </c>
      <c r="Q3" s="25">
        <f t="shared" ref="Q3:Q66" si="2">IF(C3="West",1,0)</f>
        <v>0</v>
      </c>
      <c r="R3" s="25">
        <f t="shared" ref="R3:R66" si="3">IF(D3="High Street",1,0)</f>
        <v>0</v>
      </c>
      <c r="S3" s="25">
        <f t="shared" ref="S3:S66" si="4">IF(D3="Mall",1,0)</f>
        <v>0</v>
      </c>
      <c r="T3" s="25">
        <f t="shared" ref="T3:T66" si="5">IF(D3="Residential",1,0)</f>
        <v>1</v>
      </c>
    </row>
    <row r="4" spans="1:20">
      <c r="A4" s="25" t="s">
        <v>14</v>
      </c>
      <c r="B4" s="32">
        <v>45717</v>
      </c>
      <c r="C4" s="25" t="s">
        <v>15</v>
      </c>
      <c r="D4" s="25" t="s">
        <v>16</v>
      </c>
      <c r="E4" s="25">
        <v>59921.75</v>
      </c>
      <c r="F4" s="25">
        <v>9113</v>
      </c>
      <c r="G4" s="25">
        <v>0.13300000000000001</v>
      </c>
      <c r="H4" s="25">
        <v>20</v>
      </c>
      <c r="I4" s="25">
        <v>88</v>
      </c>
      <c r="J4" s="25">
        <v>12</v>
      </c>
      <c r="K4" s="25">
        <v>0</v>
      </c>
      <c r="L4" s="25">
        <v>3.2</v>
      </c>
      <c r="M4" s="25">
        <v>678722.06</v>
      </c>
      <c r="N4" s="25">
        <v>101883.86</v>
      </c>
      <c r="O4" s="25">
        <f t="shared" si="0"/>
        <v>0</v>
      </c>
      <c r="P4" s="25">
        <f t="shared" si="1"/>
        <v>0</v>
      </c>
      <c r="Q4" s="25">
        <f t="shared" si="2"/>
        <v>0</v>
      </c>
      <c r="R4" s="25">
        <f t="shared" si="3"/>
        <v>0</v>
      </c>
      <c r="S4" s="25">
        <f t="shared" si="4"/>
        <v>0</v>
      </c>
      <c r="T4" s="25">
        <f t="shared" si="5"/>
        <v>1</v>
      </c>
    </row>
    <row r="5" spans="1:20">
      <c r="A5" s="25" t="s">
        <v>14</v>
      </c>
      <c r="B5" s="32">
        <v>45748</v>
      </c>
      <c r="C5" s="25" t="s">
        <v>15</v>
      </c>
      <c r="D5" s="25" t="s">
        <v>16</v>
      </c>
      <c r="E5" s="25">
        <v>56856.63</v>
      </c>
      <c r="F5" s="25">
        <v>9431</v>
      </c>
      <c r="G5" s="25">
        <v>0.14199999999999999</v>
      </c>
      <c r="H5" s="25">
        <v>23</v>
      </c>
      <c r="I5" s="25">
        <v>86.9</v>
      </c>
      <c r="J5" s="25">
        <v>4.97</v>
      </c>
      <c r="K5" s="25">
        <v>0</v>
      </c>
      <c r="L5" s="25">
        <v>3.4</v>
      </c>
      <c r="M5" s="25">
        <v>658920.30000000005</v>
      </c>
      <c r="N5" s="25">
        <v>97910.37</v>
      </c>
      <c r="O5" s="25">
        <f t="shared" si="0"/>
        <v>0</v>
      </c>
      <c r="P5" s="25">
        <f t="shared" si="1"/>
        <v>0</v>
      </c>
      <c r="Q5" s="25">
        <f t="shared" si="2"/>
        <v>0</v>
      </c>
      <c r="R5" s="25">
        <f t="shared" si="3"/>
        <v>0</v>
      </c>
      <c r="S5" s="25">
        <f t="shared" si="4"/>
        <v>0</v>
      </c>
      <c r="T5" s="25">
        <f t="shared" si="5"/>
        <v>1</v>
      </c>
    </row>
    <row r="6" spans="1:20">
      <c r="A6" s="25" t="s">
        <v>17</v>
      </c>
      <c r="B6" s="32">
        <v>45658</v>
      </c>
      <c r="C6" s="25" t="s">
        <v>15</v>
      </c>
      <c r="D6" s="25" t="s">
        <v>18</v>
      </c>
      <c r="E6" s="25">
        <v>48412.639999999999</v>
      </c>
      <c r="F6" s="25">
        <v>9545</v>
      </c>
      <c r="G6" s="25">
        <v>0.23100000000000001</v>
      </c>
      <c r="H6" s="25">
        <v>21</v>
      </c>
      <c r="I6" s="25">
        <v>97.6</v>
      </c>
      <c r="J6" s="25">
        <v>6.94</v>
      </c>
      <c r="K6" s="25">
        <v>1</v>
      </c>
      <c r="L6" s="25">
        <v>4.2</v>
      </c>
      <c r="M6" s="25">
        <v>741341.44</v>
      </c>
      <c r="N6" s="25">
        <v>119208.17</v>
      </c>
      <c r="O6" s="25">
        <f t="shared" si="0"/>
        <v>0</v>
      </c>
      <c r="P6" s="25">
        <f t="shared" si="1"/>
        <v>0</v>
      </c>
      <c r="Q6" s="25">
        <f t="shared" si="2"/>
        <v>0</v>
      </c>
      <c r="R6" s="25">
        <f t="shared" si="3"/>
        <v>1</v>
      </c>
      <c r="S6" s="25">
        <f t="shared" si="4"/>
        <v>0</v>
      </c>
      <c r="T6" s="25">
        <f t="shared" si="5"/>
        <v>0</v>
      </c>
    </row>
    <row r="7" spans="1:20">
      <c r="A7" s="25" t="s">
        <v>17</v>
      </c>
      <c r="B7" s="32">
        <v>45689</v>
      </c>
      <c r="C7" s="25" t="s">
        <v>15</v>
      </c>
      <c r="D7" s="25" t="s">
        <v>18</v>
      </c>
      <c r="E7" s="25">
        <v>64811.21</v>
      </c>
      <c r="F7" s="25">
        <v>9792</v>
      </c>
      <c r="G7" s="25">
        <v>0.112</v>
      </c>
      <c r="H7" s="25">
        <v>20</v>
      </c>
      <c r="I7" s="25">
        <v>84.2</v>
      </c>
      <c r="J7" s="25">
        <v>2.88</v>
      </c>
      <c r="K7" s="25">
        <v>0</v>
      </c>
      <c r="L7" s="25">
        <v>4.2</v>
      </c>
      <c r="M7" s="25">
        <v>761835.34</v>
      </c>
      <c r="N7" s="25">
        <v>149602.23000000001</v>
      </c>
      <c r="O7" s="25">
        <f t="shared" si="0"/>
        <v>0</v>
      </c>
      <c r="P7" s="25">
        <f t="shared" si="1"/>
        <v>0</v>
      </c>
      <c r="Q7" s="25">
        <f t="shared" si="2"/>
        <v>0</v>
      </c>
      <c r="R7" s="25">
        <f t="shared" si="3"/>
        <v>1</v>
      </c>
      <c r="S7" s="25">
        <f t="shared" si="4"/>
        <v>0</v>
      </c>
      <c r="T7" s="25">
        <f t="shared" si="5"/>
        <v>0</v>
      </c>
    </row>
    <row r="8" spans="1:20">
      <c r="A8" s="25" t="s">
        <v>17</v>
      </c>
      <c r="B8" s="32">
        <v>45717</v>
      </c>
      <c r="C8" s="25" t="s">
        <v>15</v>
      </c>
      <c r="D8" s="25" t="s">
        <v>18</v>
      </c>
      <c r="E8" s="25">
        <v>46213.45</v>
      </c>
      <c r="F8" s="25">
        <v>10616</v>
      </c>
      <c r="G8" s="25">
        <v>0.122</v>
      </c>
      <c r="H8" s="25">
        <v>22</v>
      </c>
      <c r="I8" s="25">
        <v>85.2</v>
      </c>
      <c r="J8" s="25">
        <v>0.2</v>
      </c>
      <c r="K8" s="25">
        <v>1</v>
      </c>
      <c r="L8" s="25">
        <v>4.0999999999999996</v>
      </c>
      <c r="M8" s="25">
        <v>806615.54</v>
      </c>
      <c r="N8" s="25">
        <v>131364.62</v>
      </c>
      <c r="O8" s="25">
        <f t="shared" si="0"/>
        <v>0</v>
      </c>
      <c r="P8" s="25">
        <f t="shared" si="1"/>
        <v>0</v>
      </c>
      <c r="Q8" s="25">
        <f t="shared" si="2"/>
        <v>0</v>
      </c>
      <c r="R8" s="25">
        <f t="shared" si="3"/>
        <v>1</v>
      </c>
      <c r="S8" s="25">
        <f t="shared" si="4"/>
        <v>0</v>
      </c>
      <c r="T8" s="25">
        <f t="shared" si="5"/>
        <v>0</v>
      </c>
    </row>
    <row r="9" spans="1:20">
      <c r="A9" s="25" t="s">
        <v>17</v>
      </c>
      <c r="B9" s="32">
        <v>45748</v>
      </c>
      <c r="C9" s="25" t="s">
        <v>15</v>
      </c>
      <c r="D9" s="25" t="s">
        <v>18</v>
      </c>
      <c r="E9" s="25">
        <v>68148.52</v>
      </c>
      <c r="F9" s="25">
        <v>8567</v>
      </c>
      <c r="G9" s="25">
        <v>0.127</v>
      </c>
      <c r="H9" s="25">
        <v>23</v>
      </c>
      <c r="I9" s="25">
        <v>95.6</v>
      </c>
      <c r="J9" s="25">
        <v>0.8</v>
      </c>
      <c r="K9" s="25">
        <v>0</v>
      </c>
      <c r="L9" s="25">
        <v>3.9</v>
      </c>
      <c r="M9" s="25">
        <v>850164.26</v>
      </c>
      <c r="N9" s="25">
        <v>149262.75</v>
      </c>
      <c r="O9" s="25">
        <f t="shared" si="0"/>
        <v>0</v>
      </c>
      <c r="P9" s="25">
        <f t="shared" si="1"/>
        <v>0</v>
      </c>
      <c r="Q9" s="25">
        <f t="shared" si="2"/>
        <v>0</v>
      </c>
      <c r="R9" s="25">
        <f t="shared" si="3"/>
        <v>1</v>
      </c>
      <c r="S9" s="25">
        <f t="shared" si="4"/>
        <v>0</v>
      </c>
      <c r="T9" s="25">
        <f t="shared" si="5"/>
        <v>0</v>
      </c>
    </row>
    <row r="10" spans="1:20">
      <c r="A10" s="25" t="s">
        <v>19</v>
      </c>
      <c r="B10" s="32">
        <v>45658</v>
      </c>
      <c r="C10" s="25" t="s">
        <v>20</v>
      </c>
      <c r="D10" s="25" t="s">
        <v>21</v>
      </c>
      <c r="E10" s="25">
        <v>71838.86</v>
      </c>
      <c r="F10" s="25">
        <v>10979</v>
      </c>
      <c r="G10" s="25">
        <v>0.215</v>
      </c>
      <c r="H10" s="25">
        <v>26</v>
      </c>
      <c r="I10" s="25">
        <v>88.6</v>
      </c>
      <c r="J10" s="25">
        <v>7.7</v>
      </c>
      <c r="K10" s="25">
        <v>1</v>
      </c>
      <c r="L10" s="25">
        <v>3.8</v>
      </c>
      <c r="M10" s="25">
        <v>930581.7</v>
      </c>
      <c r="N10" s="25">
        <v>136207.98000000001</v>
      </c>
      <c r="O10" s="25">
        <f t="shared" si="0"/>
        <v>1</v>
      </c>
      <c r="P10" s="25">
        <f t="shared" si="1"/>
        <v>0</v>
      </c>
      <c r="Q10" s="25">
        <f t="shared" si="2"/>
        <v>0</v>
      </c>
      <c r="R10" s="25">
        <f t="shared" si="3"/>
        <v>0</v>
      </c>
      <c r="S10" s="25">
        <f t="shared" si="4"/>
        <v>0</v>
      </c>
      <c r="T10" s="25">
        <f t="shared" si="5"/>
        <v>0</v>
      </c>
    </row>
    <row r="11" spans="1:20">
      <c r="A11" s="25" t="s">
        <v>19</v>
      </c>
      <c r="B11" s="32">
        <v>45689</v>
      </c>
      <c r="C11" s="25" t="s">
        <v>20</v>
      </c>
      <c r="D11" s="25" t="s">
        <v>21</v>
      </c>
      <c r="E11" s="25">
        <v>68133.440000000002</v>
      </c>
      <c r="F11" s="25">
        <v>9459</v>
      </c>
      <c r="G11" s="25">
        <v>0.22</v>
      </c>
      <c r="H11" s="25">
        <v>21</v>
      </c>
      <c r="I11" s="25">
        <v>85</v>
      </c>
      <c r="J11" s="25">
        <v>1.91</v>
      </c>
      <c r="K11" s="25">
        <v>0</v>
      </c>
      <c r="L11" s="25">
        <v>4.2</v>
      </c>
      <c r="M11" s="25">
        <v>779010.94</v>
      </c>
      <c r="N11" s="25">
        <v>106328.09</v>
      </c>
      <c r="O11" s="25">
        <f t="shared" si="0"/>
        <v>1</v>
      </c>
      <c r="P11" s="25">
        <f t="shared" si="1"/>
        <v>0</v>
      </c>
      <c r="Q11" s="25">
        <f t="shared" si="2"/>
        <v>0</v>
      </c>
      <c r="R11" s="25">
        <f t="shared" si="3"/>
        <v>0</v>
      </c>
      <c r="S11" s="25">
        <f t="shared" si="4"/>
        <v>0</v>
      </c>
      <c r="T11" s="25">
        <f t="shared" si="5"/>
        <v>0</v>
      </c>
    </row>
    <row r="12" spans="1:20">
      <c r="A12" s="25" t="s">
        <v>19</v>
      </c>
      <c r="B12" s="32">
        <v>45717</v>
      </c>
      <c r="C12" s="25" t="s">
        <v>20</v>
      </c>
      <c r="D12" s="25" t="s">
        <v>21</v>
      </c>
      <c r="E12" s="25">
        <v>34285.21</v>
      </c>
      <c r="F12" s="25">
        <v>9172</v>
      </c>
      <c r="G12" s="25">
        <v>0.21299999999999999</v>
      </c>
      <c r="H12" s="25">
        <v>22</v>
      </c>
      <c r="I12" s="25">
        <v>88.3</v>
      </c>
      <c r="J12" s="25">
        <v>10.46</v>
      </c>
      <c r="K12" s="25">
        <v>1</v>
      </c>
      <c r="L12" s="25">
        <v>3.8</v>
      </c>
      <c r="M12" s="25">
        <v>723060.76</v>
      </c>
      <c r="N12" s="25">
        <v>123131.24</v>
      </c>
      <c r="O12" s="25">
        <f t="shared" si="0"/>
        <v>1</v>
      </c>
      <c r="P12" s="25">
        <f t="shared" si="1"/>
        <v>0</v>
      </c>
      <c r="Q12" s="25">
        <f t="shared" si="2"/>
        <v>0</v>
      </c>
      <c r="R12" s="25">
        <f t="shared" si="3"/>
        <v>0</v>
      </c>
      <c r="S12" s="25">
        <f t="shared" si="4"/>
        <v>0</v>
      </c>
      <c r="T12" s="25">
        <f t="shared" si="5"/>
        <v>0</v>
      </c>
    </row>
    <row r="13" spans="1:20">
      <c r="A13" s="25" t="s">
        <v>19</v>
      </c>
      <c r="B13" s="32">
        <v>45748</v>
      </c>
      <c r="C13" s="25" t="s">
        <v>20</v>
      </c>
      <c r="D13" s="25" t="s">
        <v>21</v>
      </c>
      <c r="E13" s="25">
        <v>67979.88</v>
      </c>
      <c r="F13" s="25">
        <v>11230</v>
      </c>
      <c r="G13" s="25">
        <v>2E-3</v>
      </c>
      <c r="H13" s="25">
        <v>28</v>
      </c>
      <c r="I13" s="25">
        <v>85.3</v>
      </c>
      <c r="J13" s="25">
        <v>7.16</v>
      </c>
      <c r="K13" s="25">
        <v>0</v>
      </c>
      <c r="L13" s="25">
        <v>3.8</v>
      </c>
      <c r="M13" s="25">
        <v>910791.94</v>
      </c>
      <c r="N13" s="25">
        <v>158891.28</v>
      </c>
      <c r="O13" s="25">
        <f t="shared" si="0"/>
        <v>1</v>
      </c>
      <c r="P13" s="25">
        <f t="shared" si="1"/>
        <v>0</v>
      </c>
      <c r="Q13" s="25">
        <f t="shared" si="2"/>
        <v>0</v>
      </c>
      <c r="R13" s="25">
        <f t="shared" si="3"/>
        <v>0</v>
      </c>
      <c r="S13" s="25">
        <f t="shared" si="4"/>
        <v>0</v>
      </c>
      <c r="T13" s="25">
        <f t="shared" si="5"/>
        <v>0</v>
      </c>
    </row>
    <row r="14" spans="1:20">
      <c r="A14" s="25" t="s">
        <v>22</v>
      </c>
      <c r="B14" s="32">
        <v>45658</v>
      </c>
      <c r="C14" s="25" t="s">
        <v>15</v>
      </c>
      <c r="D14" s="25" t="s">
        <v>16</v>
      </c>
      <c r="E14" s="25">
        <v>71828.259999999995</v>
      </c>
      <c r="F14" s="25">
        <v>12775</v>
      </c>
      <c r="G14" s="25">
        <v>0.11600000000000001</v>
      </c>
      <c r="H14" s="25">
        <v>30</v>
      </c>
      <c r="I14" s="25">
        <v>81.7</v>
      </c>
      <c r="J14" s="25">
        <v>4.24</v>
      </c>
      <c r="K14" s="25">
        <v>1</v>
      </c>
      <c r="L14" s="25">
        <v>4.2</v>
      </c>
      <c r="M14" s="25">
        <v>922168.6</v>
      </c>
      <c r="N14" s="25">
        <v>107494.53</v>
      </c>
      <c r="O14" s="25">
        <f t="shared" si="0"/>
        <v>0</v>
      </c>
      <c r="P14" s="25">
        <f t="shared" si="1"/>
        <v>0</v>
      </c>
      <c r="Q14" s="25">
        <f t="shared" si="2"/>
        <v>0</v>
      </c>
      <c r="R14" s="25">
        <f t="shared" si="3"/>
        <v>0</v>
      </c>
      <c r="S14" s="25">
        <f t="shared" si="4"/>
        <v>0</v>
      </c>
      <c r="T14" s="25">
        <f t="shared" si="5"/>
        <v>1</v>
      </c>
    </row>
    <row r="15" spans="1:20">
      <c r="A15" s="25" t="s">
        <v>22</v>
      </c>
      <c r="B15" s="32">
        <v>45689</v>
      </c>
      <c r="C15" s="25" t="s">
        <v>15</v>
      </c>
      <c r="D15" s="25" t="s">
        <v>16</v>
      </c>
      <c r="E15" s="25">
        <v>55716.82</v>
      </c>
      <c r="F15" s="25">
        <v>10054</v>
      </c>
      <c r="G15" s="25">
        <v>0.14599999999999999</v>
      </c>
      <c r="H15" s="25">
        <v>24</v>
      </c>
      <c r="I15" s="25">
        <v>84.9</v>
      </c>
      <c r="J15" s="25">
        <v>1.06</v>
      </c>
      <c r="K15" s="25">
        <v>0</v>
      </c>
      <c r="L15" s="25">
        <v>4.3</v>
      </c>
      <c r="M15" s="25">
        <v>726606.28</v>
      </c>
      <c r="N15" s="25">
        <v>122729.29</v>
      </c>
      <c r="O15" s="25">
        <f t="shared" si="0"/>
        <v>0</v>
      </c>
      <c r="P15" s="25">
        <f t="shared" si="1"/>
        <v>0</v>
      </c>
      <c r="Q15" s="25">
        <f t="shared" si="2"/>
        <v>0</v>
      </c>
      <c r="R15" s="25">
        <f t="shared" si="3"/>
        <v>0</v>
      </c>
      <c r="S15" s="25">
        <f t="shared" si="4"/>
        <v>0</v>
      </c>
      <c r="T15" s="25">
        <f t="shared" si="5"/>
        <v>1</v>
      </c>
    </row>
    <row r="16" spans="1:20">
      <c r="A16" s="25" t="s">
        <v>22</v>
      </c>
      <c r="B16" s="32">
        <v>45717</v>
      </c>
      <c r="C16" s="25" t="s">
        <v>15</v>
      </c>
      <c r="D16" s="25" t="s">
        <v>16</v>
      </c>
      <c r="E16" s="25">
        <v>59909.51</v>
      </c>
      <c r="F16" s="25">
        <v>8895</v>
      </c>
      <c r="G16" s="25">
        <v>0.22800000000000001</v>
      </c>
      <c r="H16" s="25">
        <v>23</v>
      </c>
      <c r="I16" s="25">
        <v>88.8</v>
      </c>
      <c r="J16" s="25">
        <v>0.27</v>
      </c>
      <c r="K16" s="25">
        <v>0</v>
      </c>
      <c r="L16" s="25">
        <v>4.3</v>
      </c>
      <c r="M16" s="25">
        <v>746501.09</v>
      </c>
      <c r="N16" s="25">
        <v>136816.72</v>
      </c>
      <c r="O16" s="25">
        <f t="shared" si="0"/>
        <v>0</v>
      </c>
      <c r="P16" s="25">
        <f t="shared" si="1"/>
        <v>0</v>
      </c>
      <c r="Q16" s="25">
        <f t="shared" si="2"/>
        <v>0</v>
      </c>
      <c r="R16" s="25">
        <f t="shared" si="3"/>
        <v>0</v>
      </c>
      <c r="S16" s="25">
        <f t="shared" si="4"/>
        <v>0</v>
      </c>
      <c r="T16" s="25">
        <f t="shared" si="5"/>
        <v>1</v>
      </c>
    </row>
    <row r="17" spans="1:20">
      <c r="A17" s="25" t="s">
        <v>22</v>
      </c>
      <c r="B17" s="32">
        <v>45748</v>
      </c>
      <c r="C17" s="25" t="s">
        <v>15</v>
      </c>
      <c r="D17" s="25" t="s">
        <v>16</v>
      </c>
      <c r="E17" s="25">
        <v>75305.710000000006</v>
      </c>
      <c r="F17" s="25">
        <v>10940</v>
      </c>
      <c r="G17" s="25">
        <v>6.0000000000000001E-3</v>
      </c>
      <c r="H17" s="25">
        <v>26</v>
      </c>
      <c r="I17" s="25">
        <v>76.5</v>
      </c>
      <c r="J17" s="25">
        <v>1.32</v>
      </c>
      <c r="K17" s="25">
        <v>0</v>
      </c>
      <c r="L17" s="25">
        <v>4.5</v>
      </c>
      <c r="M17" s="25">
        <v>834017.02</v>
      </c>
      <c r="N17" s="25">
        <v>114745.03</v>
      </c>
      <c r="O17" s="25">
        <f t="shared" si="0"/>
        <v>0</v>
      </c>
      <c r="P17" s="25">
        <f t="shared" si="1"/>
        <v>0</v>
      </c>
      <c r="Q17" s="25">
        <f t="shared" si="2"/>
        <v>0</v>
      </c>
      <c r="R17" s="25">
        <f t="shared" si="3"/>
        <v>0</v>
      </c>
      <c r="S17" s="25">
        <f t="shared" si="4"/>
        <v>0</v>
      </c>
      <c r="T17" s="25">
        <f t="shared" si="5"/>
        <v>1</v>
      </c>
    </row>
    <row r="18" spans="1:20">
      <c r="A18" s="25" t="s">
        <v>23</v>
      </c>
      <c r="B18" s="32">
        <v>45658</v>
      </c>
      <c r="C18" s="25" t="s">
        <v>24</v>
      </c>
      <c r="D18" s="25" t="s">
        <v>16</v>
      </c>
      <c r="E18" s="25">
        <v>48804.22</v>
      </c>
      <c r="F18" s="25">
        <v>7057</v>
      </c>
      <c r="G18" s="25">
        <v>5.0000000000000001E-3</v>
      </c>
      <c r="H18" s="25">
        <v>15</v>
      </c>
      <c r="I18" s="25">
        <v>87.7</v>
      </c>
      <c r="J18" s="25">
        <v>1.22</v>
      </c>
      <c r="K18" s="25">
        <v>0</v>
      </c>
      <c r="L18" s="25">
        <v>3.7</v>
      </c>
      <c r="M18" s="25">
        <v>666152.52</v>
      </c>
      <c r="N18" s="25">
        <v>107490.58</v>
      </c>
      <c r="O18" s="25">
        <f t="shared" si="0"/>
        <v>0</v>
      </c>
      <c r="P18" s="25">
        <f t="shared" si="1"/>
        <v>1</v>
      </c>
      <c r="Q18" s="25">
        <f t="shared" si="2"/>
        <v>0</v>
      </c>
      <c r="R18" s="25">
        <f t="shared" si="3"/>
        <v>0</v>
      </c>
      <c r="S18" s="25">
        <f t="shared" si="4"/>
        <v>0</v>
      </c>
      <c r="T18" s="25">
        <f t="shared" si="5"/>
        <v>1</v>
      </c>
    </row>
    <row r="19" spans="1:20">
      <c r="A19" s="25" t="s">
        <v>23</v>
      </c>
      <c r="B19" s="32">
        <v>45689</v>
      </c>
      <c r="C19" s="25" t="s">
        <v>24</v>
      </c>
      <c r="D19" s="25" t="s">
        <v>16</v>
      </c>
      <c r="E19" s="25">
        <v>59117.9</v>
      </c>
      <c r="F19" s="25">
        <v>4263</v>
      </c>
      <c r="G19" s="25">
        <v>0.11899999999999999</v>
      </c>
      <c r="H19" s="25">
        <v>9</v>
      </c>
      <c r="I19" s="25">
        <v>87.6</v>
      </c>
      <c r="J19" s="25">
        <v>4.01</v>
      </c>
      <c r="K19" s="25">
        <v>0</v>
      </c>
      <c r="L19" s="25">
        <v>3.6</v>
      </c>
      <c r="M19" s="25">
        <v>573155.18999999994</v>
      </c>
      <c r="N19" s="25">
        <v>83680.75</v>
      </c>
      <c r="O19" s="25">
        <f t="shared" si="0"/>
        <v>0</v>
      </c>
      <c r="P19" s="25">
        <f t="shared" si="1"/>
        <v>1</v>
      </c>
      <c r="Q19" s="25">
        <f t="shared" si="2"/>
        <v>0</v>
      </c>
      <c r="R19" s="25">
        <f t="shared" si="3"/>
        <v>0</v>
      </c>
      <c r="S19" s="25">
        <f t="shared" si="4"/>
        <v>0</v>
      </c>
      <c r="T19" s="25">
        <f t="shared" si="5"/>
        <v>1</v>
      </c>
    </row>
    <row r="20" spans="1:20">
      <c r="A20" s="25" t="s">
        <v>23</v>
      </c>
      <c r="B20" s="32">
        <v>45717</v>
      </c>
      <c r="C20" s="25" t="s">
        <v>24</v>
      </c>
      <c r="D20" s="25" t="s">
        <v>16</v>
      </c>
      <c r="E20" s="25">
        <v>78831.12</v>
      </c>
      <c r="F20" s="25">
        <v>5538</v>
      </c>
      <c r="G20" s="25">
        <v>0</v>
      </c>
      <c r="H20" s="25">
        <v>15</v>
      </c>
      <c r="I20" s="25">
        <v>94.1</v>
      </c>
      <c r="J20" s="25">
        <v>0.2</v>
      </c>
      <c r="K20" s="25">
        <v>0</v>
      </c>
      <c r="L20" s="25">
        <v>3.9</v>
      </c>
      <c r="M20" s="25">
        <v>666573.19999999995</v>
      </c>
      <c r="N20" s="25">
        <v>140641.01999999999</v>
      </c>
      <c r="O20" s="25">
        <f t="shared" si="0"/>
        <v>0</v>
      </c>
      <c r="P20" s="25">
        <f t="shared" si="1"/>
        <v>1</v>
      </c>
      <c r="Q20" s="25">
        <f t="shared" si="2"/>
        <v>0</v>
      </c>
      <c r="R20" s="25">
        <f t="shared" si="3"/>
        <v>0</v>
      </c>
      <c r="S20" s="25">
        <f t="shared" si="4"/>
        <v>0</v>
      </c>
      <c r="T20" s="25">
        <f t="shared" si="5"/>
        <v>1</v>
      </c>
    </row>
    <row r="21" spans="1:20">
      <c r="A21" s="25" t="s">
        <v>23</v>
      </c>
      <c r="B21" s="32">
        <v>45748</v>
      </c>
      <c r="C21" s="25" t="s">
        <v>24</v>
      </c>
      <c r="D21" s="25" t="s">
        <v>16</v>
      </c>
      <c r="E21" s="25">
        <v>41441.93</v>
      </c>
      <c r="F21" s="25">
        <v>4865</v>
      </c>
      <c r="G21" s="25">
        <v>0.158</v>
      </c>
      <c r="H21" s="25">
        <v>16</v>
      </c>
      <c r="I21" s="25">
        <v>88.3</v>
      </c>
      <c r="J21" s="25">
        <v>0.5</v>
      </c>
      <c r="K21" s="25">
        <v>0</v>
      </c>
      <c r="L21" s="25">
        <v>4</v>
      </c>
      <c r="M21" s="25">
        <v>591619.94999999995</v>
      </c>
      <c r="N21" s="25">
        <v>99521.35</v>
      </c>
      <c r="O21" s="25">
        <f t="shared" si="0"/>
        <v>0</v>
      </c>
      <c r="P21" s="25">
        <f t="shared" si="1"/>
        <v>1</v>
      </c>
      <c r="Q21" s="25">
        <f t="shared" si="2"/>
        <v>0</v>
      </c>
      <c r="R21" s="25">
        <f t="shared" si="3"/>
        <v>0</v>
      </c>
      <c r="S21" s="25">
        <f t="shared" si="4"/>
        <v>0</v>
      </c>
      <c r="T21" s="25">
        <f t="shared" si="5"/>
        <v>1</v>
      </c>
    </row>
    <row r="22" spans="1:20">
      <c r="A22" s="25" t="s">
        <v>25</v>
      </c>
      <c r="B22" s="32">
        <v>45658</v>
      </c>
      <c r="C22" s="25" t="s">
        <v>20</v>
      </c>
      <c r="D22" s="25" t="s">
        <v>16</v>
      </c>
      <c r="E22" s="25">
        <v>30356.28</v>
      </c>
      <c r="F22" s="25">
        <v>2822</v>
      </c>
      <c r="G22" s="25">
        <v>0.23100000000000001</v>
      </c>
      <c r="H22" s="25">
        <v>9</v>
      </c>
      <c r="I22" s="25">
        <v>84.8</v>
      </c>
      <c r="J22" s="25">
        <v>6.95</v>
      </c>
      <c r="K22" s="25">
        <v>0</v>
      </c>
      <c r="L22" s="25">
        <v>5</v>
      </c>
      <c r="M22" s="25">
        <v>415721.82</v>
      </c>
      <c r="N22" s="25">
        <v>61179.15</v>
      </c>
      <c r="O22" s="25">
        <f t="shared" si="0"/>
        <v>1</v>
      </c>
      <c r="P22" s="25">
        <f t="shared" si="1"/>
        <v>0</v>
      </c>
      <c r="Q22" s="25">
        <f t="shared" si="2"/>
        <v>0</v>
      </c>
      <c r="R22" s="25">
        <f t="shared" si="3"/>
        <v>0</v>
      </c>
      <c r="S22" s="25">
        <f t="shared" si="4"/>
        <v>0</v>
      </c>
      <c r="T22" s="25">
        <f t="shared" si="5"/>
        <v>1</v>
      </c>
    </row>
    <row r="23" spans="1:20">
      <c r="A23" s="25" t="s">
        <v>25</v>
      </c>
      <c r="B23" s="32">
        <v>45689</v>
      </c>
      <c r="C23" s="25" t="s">
        <v>20</v>
      </c>
      <c r="D23" s="25" t="s">
        <v>16</v>
      </c>
      <c r="E23" s="25">
        <v>33518.879999999997</v>
      </c>
      <c r="F23" s="25">
        <v>2121</v>
      </c>
      <c r="G23" s="25">
        <v>0.17599999999999999</v>
      </c>
      <c r="H23" s="25">
        <v>8</v>
      </c>
      <c r="I23" s="25">
        <v>88.5</v>
      </c>
      <c r="J23" s="25">
        <v>0.2</v>
      </c>
      <c r="K23" s="25">
        <v>0</v>
      </c>
      <c r="L23" s="25">
        <v>5</v>
      </c>
      <c r="M23" s="25">
        <v>491905.13</v>
      </c>
      <c r="N23" s="25">
        <v>79212.259999999995</v>
      </c>
      <c r="O23" s="25">
        <f t="shared" si="0"/>
        <v>1</v>
      </c>
      <c r="P23" s="25">
        <f t="shared" si="1"/>
        <v>0</v>
      </c>
      <c r="Q23" s="25">
        <f t="shared" si="2"/>
        <v>0</v>
      </c>
      <c r="R23" s="25">
        <f t="shared" si="3"/>
        <v>0</v>
      </c>
      <c r="S23" s="25">
        <f t="shared" si="4"/>
        <v>0</v>
      </c>
      <c r="T23" s="25">
        <f t="shared" si="5"/>
        <v>1</v>
      </c>
    </row>
    <row r="24" spans="1:20">
      <c r="A24" s="25" t="s">
        <v>25</v>
      </c>
      <c r="B24" s="32">
        <v>45717</v>
      </c>
      <c r="C24" s="25" t="s">
        <v>20</v>
      </c>
      <c r="D24" s="25" t="s">
        <v>16</v>
      </c>
      <c r="E24" s="25">
        <v>42267.37</v>
      </c>
      <c r="F24" s="25">
        <v>3364</v>
      </c>
      <c r="G24" s="25">
        <v>0.16</v>
      </c>
      <c r="H24" s="25">
        <v>13</v>
      </c>
      <c r="I24" s="25">
        <v>82</v>
      </c>
      <c r="J24" s="25">
        <v>1.61</v>
      </c>
      <c r="K24" s="25">
        <v>1</v>
      </c>
      <c r="L24" s="25">
        <v>4.5999999999999996</v>
      </c>
      <c r="M24" s="25">
        <v>555929.4</v>
      </c>
      <c r="N24" s="25">
        <v>115201.76</v>
      </c>
      <c r="O24" s="25">
        <f t="shared" si="0"/>
        <v>1</v>
      </c>
      <c r="P24" s="25">
        <f t="shared" si="1"/>
        <v>0</v>
      </c>
      <c r="Q24" s="25">
        <f t="shared" si="2"/>
        <v>0</v>
      </c>
      <c r="R24" s="25">
        <f t="shared" si="3"/>
        <v>0</v>
      </c>
      <c r="S24" s="25">
        <f t="shared" si="4"/>
        <v>0</v>
      </c>
      <c r="T24" s="25">
        <f t="shared" si="5"/>
        <v>1</v>
      </c>
    </row>
    <row r="25" spans="1:20">
      <c r="A25" s="25" t="s">
        <v>25</v>
      </c>
      <c r="B25" s="32">
        <v>45748</v>
      </c>
      <c r="C25" s="25" t="s">
        <v>20</v>
      </c>
      <c r="D25" s="25" t="s">
        <v>16</v>
      </c>
      <c r="E25" s="25">
        <v>62060.43</v>
      </c>
      <c r="F25" s="25">
        <v>2613</v>
      </c>
      <c r="G25" s="25">
        <v>0.216</v>
      </c>
      <c r="H25" s="25">
        <v>12</v>
      </c>
      <c r="I25" s="25">
        <v>92.1</v>
      </c>
      <c r="J25" s="25">
        <v>1.55</v>
      </c>
      <c r="K25" s="25">
        <v>0</v>
      </c>
      <c r="L25" s="25">
        <v>4.7</v>
      </c>
      <c r="M25" s="25">
        <v>565810.99</v>
      </c>
      <c r="N25" s="25">
        <v>77825.460000000006</v>
      </c>
      <c r="O25" s="25">
        <f t="shared" si="0"/>
        <v>1</v>
      </c>
      <c r="P25" s="25">
        <f t="shared" si="1"/>
        <v>0</v>
      </c>
      <c r="Q25" s="25">
        <f t="shared" si="2"/>
        <v>0</v>
      </c>
      <c r="R25" s="25">
        <f t="shared" si="3"/>
        <v>0</v>
      </c>
      <c r="S25" s="25">
        <f t="shared" si="4"/>
        <v>0</v>
      </c>
      <c r="T25" s="25">
        <f t="shared" si="5"/>
        <v>1</v>
      </c>
    </row>
    <row r="26" spans="1:20">
      <c r="A26" s="25" t="s">
        <v>26</v>
      </c>
      <c r="B26" s="32">
        <v>45658</v>
      </c>
      <c r="C26" s="25" t="s">
        <v>27</v>
      </c>
      <c r="D26" s="25" t="s">
        <v>28</v>
      </c>
      <c r="E26" s="25">
        <v>57696.69</v>
      </c>
      <c r="F26" s="25">
        <v>10218</v>
      </c>
      <c r="G26" s="25">
        <v>0.121</v>
      </c>
      <c r="H26" s="25">
        <v>25</v>
      </c>
      <c r="I26" s="25">
        <v>94.8</v>
      </c>
      <c r="J26" s="25">
        <v>2.99</v>
      </c>
      <c r="K26" s="25">
        <v>0</v>
      </c>
      <c r="L26" s="25">
        <v>3.5</v>
      </c>
      <c r="M26" s="25">
        <v>811771.14</v>
      </c>
      <c r="N26" s="25">
        <v>148756.24</v>
      </c>
      <c r="O26" s="25">
        <f t="shared" si="0"/>
        <v>0</v>
      </c>
      <c r="P26" s="25">
        <f t="shared" si="1"/>
        <v>0</v>
      </c>
      <c r="Q26" s="25">
        <f t="shared" si="2"/>
        <v>1</v>
      </c>
      <c r="R26" s="25">
        <f t="shared" si="3"/>
        <v>0</v>
      </c>
      <c r="S26" s="25">
        <f t="shared" si="4"/>
        <v>1</v>
      </c>
      <c r="T26" s="25">
        <f t="shared" si="5"/>
        <v>0</v>
      </c>
    </row>
    <row r="27" spans="1:20">
      <c r="A27" s="25" t="s">
        <v>26</v>
      </c>
      <c r="B27" s="32">
        <v>45689</v>
      </c>
      <c r="C27" s="25" t="s">
        <v>27</v>
      </c>
      <c r="D27" s="25" t="s">
        <v>28</v>
      </c>
      <c r="E27" s="25">
        <v>172415.52</v>
      </c>
      <c r="F27" s="25">
        <v>8927</v>
      </c>
      <c r="G27" s="25">
        <v>0.14000000000000001</v>
      </c>
      <c r="H27" s="25">
        <v>22</v>
      </c>
      <c r="I27" s="25">
        <v>86.2</v>
      </c>
      <c r="J27" s="25">
        <v>7.04</v>
      </c>
      <c r="K27" s="25">
        <v>0</v>
      </c>
      <c r="L27" s="25">
        <v>3.9</v>
      </c>
      <c r="M27" s="25">
        <v>800451.94</v>
      </c>
      <c r="N27" s="25">
        <v>111572.29</v>
      </c>
      <c r="O27" s="25">
        <f t="shared" si="0"/>
        <v>0</v>
      </c>
      <c r="P27" s="25">
        <f t="shared" si="1"/>
        <v>0</v>
      </c>
      <c r="Q27" s="25">
        <f t="shared" si="2"/>
        <v>1</v>
      </c>
      <c r="R27" s="25">
        <f t="shared" si="3"/>
        <v>0</v>
      </c>
      <c r="S27" s="25">
        <f t="shared" si="4"/>
        <v>1</v>
      </c>
      <c r="T27" s="25">
        <f t="shared" si="5"/>
        <v>0</v>
      </c>
    </row>
    <row r="28" spans="1:20">
      <c r="A28" s="25" t="s">
        <v>26</v>
      </c>
      <c r="B28" s="32">
        <v>45717</v>
      </c>
      <c r="C28" s="25" t="s">
        <v>27</v>
      </c>
      <c r="D28" s="25" t="s">
        <v>28</v>
      </c>
      <c r="E28" s="25">
        <v>55270.52</v>
      </c>
      <c r="F28" s="25">
        <v>9315</v>
      </c>
      <c r="G28" s="25">
        <v>0.16900000000000001</v>
      </c>
      <c r="H28" s="25">
        <v>23</v>
      </c>
      <c r="I28" s="25">
        <v>91.9</v>
      </c>
      <c r="J28" s="25">
        <v>4.9400000000000004</v>
      </c>
      <c r="K28" s="25">
        <v>0</v>
      </c>
      <c r="L28" s="25">
        <v>4</v>
      </c>
      <c r="M28" s="25">
        <v>783672.82</v>
      </c>
      <c r="N28" s="25">
        <v>112577.14</v>
      </c>
      <c r="O28" s="25">
        <f t="shared" si="0"/>
        <v>0</v>
      </c>
      <c r="P28" s="25">
        <f t="shared" si="1"/>
        <v>0</v>
      </c>
      <c r="Q28" s="25">
        <f t="shared" si="2"/>
        <v>1</v>
      </c>
      <c r="R28" s="25">
        <f t="shared" si="3"/>
        <v>0</v>
      </c>
      <c r="S28" s="25">
        <f t="shared" si="4"/>
        <v>1</v>
      </c>
      <c r="T28" s="25">
        <f t="shared" si="5"/>
        <v>0</v>
      </c>
    </row>
    <row r="29" spans="1:20">
      <c r="A29" s="25" t="s">
        <v>26</v>
      </c>
      <c r="B29" s="32">
        <v>45748</v>
      </c>
      <c r="C29" s="25" t="s">
        <v>27</v>
      </c>
      <c r="D29" s="25" t="s">
        <v>28</v>
      </c>
      <c r="E29" s="25">
        <v>52715.1</v>
      </c>
      <c r="F29" s="25">
        <v>7223</v>
      </c>
      <c r="G29" s="25">
        <v>0.122</v>
      </c>
      <c r="H29" s="25">
        <v>16</v>
      </c>
      <c r="I29" s="25">
        <v>84.2</v>
      </c>
      <c r="J29" s="25">
        <v>16.149999999999999</v>
      </c>
      <c r="K29" s="25">
        <v>0</v>
      </c>
      <c r="L29" s="25">
        <v>3.7</v>
      </c>
      <c r="M29" s="25">
        <v>701641.97</v>
      </c>
      <c r="N29" s="25">
        <v>106111.86</v>
      </c>
      <c r="O29" s="25">
        <f t="shared" si="0"/>
        <v>0</v>
      </c>
      <c r="P29" s="25">
        <f t="shared" si="1"/>
        <v>0</v>
      </c>
      <c r="Q29" s="25">
        <f t="shared" si="2"/>
        <v>1</v>
      </c>
      <c r="R29" s="25">
        <f t="shared" si="3"/>
        <v>0</v>
      </c>
      <c r="S29" s="25">
        <f t="shared" si="4"/>
        <v>1</v>
      </c>
      <c r="T29" s="25">
        <f t="shared" si="5"/>
        <v>0</v>
      </c>
    </row>
    <row r="30" spans="1:20">
      <c r="A30" s="25" t="s">
        <v>29</v>
      </c>
      <c r="B30" s="32">
        <v>45658</v>
      </c>
      <c r="C30" s="25" t="s">
        <v>15</v>
      </c>
      <c r="D30" s="25" t="s">
        <v>16</v>
      </c>
      <c r="E30" s="25">
        <v>68600.62</v>
      </c>
      <c r="F30" s="25">
        <v>3988</v>
      </c>
      <c r="G30" s="25">
        <v>0.124</v>
      </c>
      <c r="H30" s="25">
        <v>11</v>
      </c>
      <c r="I30" s="25">
        <v>85</v>
      </c>
      <c r="J30" s="25">
        <v>0.48</v>
      </c>
      <c r="K30" s="25">
        <v>0</v>
      </c>
      <c r="L30" s="25">
        <v>3.6</v>
      </c>
      <c r="M30" s="25">
        <v>511844.41</v>
      </c>
      <c r="N30" s="25">
        <v>72774.44</v>
      </c>
      <c r="O30" s="25">
        <f t="shared" si="0"/>
        <v>0</v>
      </c>
      <c r="P30" s="25">
        <f t="shared" si="1"/>
        <v>0</v>
      </c>
      <c r="Q30" s="25">
        <f t="shared" si="2"/>
        <v>0</v>
      </c>
      <c r="R30" s="25">
        <f t="shared" si="3"/>
        <v>0</v>
      </c>
      <c r="S30" s="25">
        <f t="shared" si="4"/>
        <v>0</v>
      </c>
      <c r="T30" s="25">
        <f t="shared" si="5"/>
        <v>1</v>
      </c>
    </row>
    <row r="31" spans="1:20">
      <c r="A31" s="25" t="s">
        <v>29</v>
      </c>
      <c r="B31" s="32">
        <v>45689</v>
      </c>
      <c r="C31" s="25" t="s">
        <v>15</v>
      </c>
      <c r="D31" s="25" t="s">
        <v>16</v>
      </c>
      <c r="E31" s="25">
        <v>63176.73</v>
      </c>
      <c r="F31" s="25">
        <v>2390</v>
      </c>
      <c r="G31" s="25">
        <v>0.216</v>
      </c>
      <c r="H31" s="25">
        <v>9</v>
      </c>
      <c r="I31" s="25">
        <v>87.5</v>
      </c>
      <c r="J31" s="25">
        <v>0.31</v>
      </c>
      <c r="K31" s="25">
        <v>0</v>
      </c>
      <c r="L31" s="25">
        <v>3.1</v>
      </c>
      <c r="M31" s="25">
        <v>537383.79</v>
      </c>
      <c r="N31" s="25">
        <v>63773.27</v>
      </c>
      <c r="O31" s="25">
        <f t="shared" si="0"/>
        <v>0</v>
      </c>
      <c r="P31" s="25">
        <f t="shared" si="1"/>
        <v>0</v>
      </c>
      <c r="Q31" s="25">
        <f t="shared" si="2"/>
        <v>0</v>
      </c>
      <c r="R31" s="25">
        <f t="shared" si="3"/>
        <v>0</v>
      </c>
      <c r="S31" s="25">
        <f t="shared" si="4"/>
        <v>0</v>
      </c>
      <c r="T31" s="25">
        <f t="shared" si="5"/>
        <v>1</v>
      </c>
    </row>
    <row r="32" spans="1:20">
      <c r="A32" s="25" t="s">
        <v>29</v>
      </c>
      <c r="B32" s="32">
        <v>45717</v>
      </c>
      <c r="C32" s="25" t="s">
        <v>15</v>
      </c>
      <c r="D32" s="25" t="s">
        <v>16</v>
      </c>
      <c r="E32" s="25">
        <v>44970.080000000002</v>
      </c>
      <c r="F32" s="25">
        <v>2471</v>
      </c>
      <c r="G32" s="25">
        <v>0.13600000000000001</v>
      </c>
      <c r="H32" s="25">
        <v>11</v>
      </c>
      <c r="I32" s="25">
        <v>87.6</v>
      </c>
      <c r="J32" s="25">
        <v>3.01</v>
      </c>
      <c r="K32" s="25">
        <v>1</v>
      </c>
      <c r="L32" s="25">
        <v>3.7</v>
      </c>
      <c r="M32" s="25">
        <v>500173.02</v>
      </c>
      <c r="N32" s="25">
        <v>70982.05</v>
      </c>
      <c r="O32" s="25">
        <f t="shared" si="0"/>
        <v>0</v>
      </c>
      <c r="P32" s="25">
        <f t="shared" si="1"/>
        <v>0</v>
      </c>
      <c r="Q32" s="25">
        <f t="shared" si="2"/>
        <v>0</v>
      </c>
      <c r="R32" s="25">
        <f t="shared" si="3"/>
        <v>0</v>
      </c>
      <c r="S32" s="25">
        <f t="shared" si="4"/>
        <v>0</v>
      </c>
      <c r="T32" s="25">
        <f t="shared" si="5"/>
        <v>1</v>
      </c>
    </row>
    <row r="33" spans="1:20">
      <c r="A33" s="25" t="s">
        <v>29</v>
      </c>
      <c r="B33" s="32">
        <v>45748</v>
      </c>
      <c r="C33" s="25" t="s">
        <v>15</v>
      </c>
      <c r="D33" s="25" t="s">
        <v>16</v>
      </c>
      <c r="E33" s="25">
        <v>69816.350000000006</v>
      </c>
      <c r="F33" s="25">
        <v>971</v>
      </c>
      <c r="G33" s="25">
        <v>0.16800000000000001</v>
      </c>
      <c r="H33" s="25">
        <v>5</v>
      </c>
      <c r="I33" s="25">
        <v>89.9</v>
      </c>
      <c r="J33" s="25">
        <v>12.15</v>
      </c>
      <c r="K33" s="25">
        <v>0</v>
      </c>
      <c r="L33" s="25">
        <v>3.6</v>
      </c>
      <c r="M33" s="25">
        <v>427917.38</v>
      </c>
      <c r="N33" s="25">
        <v>81824.31</v>
      </c>
      <c r="O33" s="25">
        <f t="shared" si="0"/>
        <v>0</v>
      </c>
      <c r="P33" s="25">
        <f t="shared" si="1"/>
        <v>0</v>
      </c>
      <c r="Q33" s="25">
        <f t="shared" si="2"/>
        <v>0</v>
      </c>
      <c r="R33" s="25">
        <f t="shared" si="3"/>
        <v>0</v>
      </c>
      <c r="S33" s="25">
        <f t="shared" si="4"/>
        <v>0</v>
      </c>
      <c r="T33" s="25">
        <f t="shared" si="5"/>
        <v>1</v>
      </c>
    </row>
    <row r="34" spans="1:20">
      <c r="A34" s="25" t="s">
        <v>30</v>
      </c>
      <c r="B34" s="32">
        <v>45658</v>
      </c>
      <c r="C34" s="25" t="s">
        <v>20</v>
      </c>
      <c r="D34" s="25" t="s">
        <v>16</v>
      </c>
      <c r="E34" s="25">
        <v>54597.83</v>
      </c>
      <c r="F34" s="25">
        <v>9429</v>
      </c>
      <c r="G34" s="25">
        <v>0.188</v>
      </c>
      <c r="H34" s="25">
        <v>21</v>
      </c>
      <c r="I34" s="25">
        <v>83.3</v>
      </c>
      <c r="J34" s="25">
        <v>11.71</v>
      </c>
      <c r="K34" s="25">
        <v>0</v>
      </c>
      <c r="L34" s="25">
        <v>4.2</v>
      </c>
      <c r="M34" s="25">
        <v>641865.03</v>
      </c>
      <c r="N34" s="25">
        <v>81342.58</v>
      </c>
      <c r="O34" s="25">
        <f t="shared" si="0"/>
        <v>1</v>
      </c>
      <c r="P34" s="25">
        <f t="shared" si="1"/>
        <v>0</v>
      </c>
      <c r="Q34" s="25">
        <f t="shared" si="2"/>
        <v>0</v>
      </c>
      <c r="R34" s="25">
        <f t="shared" si="3"/>
        <v>0</v>
      </c>
      <c r="S34" s="25">
        <f t="shared" si="4"/>
        <v>0</v>
      </c>
      <c r="T34" s="25">
        <f t="shared" si="5"/>
        <v>1</v>
      </c>
    </row>
    <row r="35" spans="1:20">
      <c r="A35" s="25" t="s">
        <v>30</v>
      </c>
      <c r="B35" s="32">
        <v>45689</v>
      </c>
      <c r="C35" s="25" t="s">
        <v>20</v>
      </c>
      <c r="D35" s="25" t="s">
        <v>16</v>
      </c>
      <c r="E35" s="25">
        <v>73771.91</v>
      </c>
      <c r="F35" s="25">
        <v>11695</v>
      </c>
      <c r="G35" s="25">
        <v>7.0000000000000007E-2</v>
      </c>
      <c r="H35" s="25">
        <v>25</v>
      </c>
      <c r="I35" s="25">
        <v>84.7</v>
      </c>
      <c r="J35" s="25">
        <v>0.62</v>
      </c>
      <c r="K35" s="25">
        <v>0</v>
      </c>
      <c r="L35" s="25">
        <v>3.92</v>
      </c>
      <c r="M35" s="25">
        <v>799477.76000000001</v>
      </c>
      <c r="N35" s="25">
        <v>164974.41</v>
      </c>
      <c r="O35" s="25">
        <f t="shared" si="0"/>
        <v>1</v>
      </c>
      <c r="P35" s="25">
        <f t="shared" si="1"/>
        <v>0</v>
      </c>
      <c r="Q35" s="25">
        <f t="shared" si="2"/>
        <v>0</v>
      </c>
      <c r="R35" s="25">
        <f t="shared" si="3"/>
        <v>0</v>
      </c>
      <c r="S35" s="25">
        <f t="shared" si="4"/>
        <v>0</v>
      </c>
      <c r="T35" s="25">
        <f t="shared" si="5"/>
        <v>1</v>
      </c>
    </row>
    <row r="36" spans="1:20">
      <c r="A36" s="25" t="s">
        <v>30</v>
      </c>
      <c r="B36" s="32">
        <v>45717</v>
      </c>
      <c r="C36" s="25" t="s">
        <v>20</v>
      </c>
      <c r="D36" s="25" t="s">
        <v>16</v>
      </c>
      <c r="E36" s="25">
        <v>74413.88</v>
      </c>
      <c r="F36" s="25">
        <v>9449</v>
      </c>
      <c r="G36" s="25">
        <v>3.9E-2</v>
      </c>
      <c r="H36" s="25">
        <v>23</v>
      </c>
      <c r="I36" s="25">
        <v>92.1</v>
      </c>
      <c r="J36" s="25">
        <v>2.12</v>
      </c>
      <c r="K36" s="25">
        <v>0</v>
      </c>
      <c r="L36" s="25">
        <v>3.5</v>
      </c>
      <c r="M36" s="25">
        <v>798952.17</v>
      </c>
      <c r="N36" s="25">
        <v>161499.04</v>
      </c>
      <c r="O36" s="25">
        <f t="shared" si="0"/>
        <v>1</v>
      </c>
      <c r="P36" s="25">
        <f t="shared" si="1"/>
        <v>0</v>
      </c>
      <c r="Q36" s="25">
        <f t="shared" si="2"/>
        <v>0</v>
      </c>
      <c r="R36" s="25">
        <f t="shared" si="3"/>
        <v>0</v>
      </c>
      <c r="S36" s="25">
        <f t="shared" si="4"/>
        <v>0</v>
      </c>
      <c r="T36" s="25">
        <f t="shared" si="5"/>
        <v>1</v>
      </c>
    </row>
    <row r="37" spans="1:20">
      <c r="A37" s="25" t="s">
        <v>30</v>
      </c>
      <c r="B37" s="32">
        <v>45748</v>
      </c>
      <c r="C37" s="25" t="s">
        <v>20</v>
      </c>
      <c r="D37" s="25" t="s">
        <v>16</v>
      </c>
      <c r="E37" s="25">
        <v>52483.77</v>
      </c>
      <c r="F37" s="25">
        <v>10453</v>
      </c>
      <c r="G37" s="25">
        <v>0.247</v>
      </c>
      <c r="H37" s="25">
        <v>25</v>
      </c>
      <c r="I37" s="25">
        <v>99</v>
      </c>
      <c r="J37" s="25">
        <v>6.31</v>
      </c>
      <c r="K37" s="25">
        <v>0</v>
      </c>
      <c r="L37" s="25">
        <v>3.6</v>
      </c>
      <c r="M37" s="25">
        <v>800979.78</v>
      </c>
      <c r="N37" s="25">
        <v>149242.26999999999</v>
      </c>
      <c r="O37" s="25">
        <f t="shared" si="0"/>
        <v>1</v>
      </c>
      <c r="P37" s="25">
        <f t="shared" si="1"/>
        <v>0</v>
      </c>
      <c r="Q37" s="25">
        <f t="shared" si="2"/>
        <v>0</v>
      </c>
      <c r="R37" s="25">
        <f t="shared" si="3"/>
        <v>0</v>
      </c>
      <c r="S37" s="25">
        <f t="shared" si="4"/>
        <v>0</v>
      </c>
      <c r="T37" s="25">
        <f t="shared" si="5"/>
        <v>1</v>
      </c>
    </row>
    <row r="38" spans="1:20">
      <c r="A38" s="25" t="s">
        <v>31</v>
      </c>
      <c r="B38" s="32">
        <v>45658</v>
      </c>
      <c r="C38" s="25" t="s">
        <v>20</v>
      </c>
      <c r="D38" s="25" t="s">
        <v>28</v>
      </c>
      <c r="E38" s="25">
        <v>75269.87</v>
      </c>
      <c r="F38" s="25">
        <v>8838</v>
      </c>
      <c r="G38" s="25">
        <v>9.1999999999999998E-2</v>
      </c>
      <c r="H38" s="25">
        <v>21</v>
      </c>
      <c r="I38" s="25">
        <v>83.1</v>
      </c>
      <c r="J38" s="25">
        <v>9.56</v>
      </c>
      <c r="K38" s="25">
        <v>1</v>
      </c>
      <c r="L38" s="25">
        <v>4.2</v>
      </c>
      <c r="M38" s="25">
        <v>820593.93</v>
      </c>
      <c r="N38" s="25">
        <v>115860.06</v>
      </c>
      <c r="O38" s="25">
        <f t="shared" si="0"/>
        <v>1</v>
      </c>
      <c r="P38" s="25">
        <f t="shared" si="1"/>
        <v>0</v>
      </c>
      <c r="Q38" s="25">
        <f t="shared" si="2"/>
        <v>0</v>
      </c>
      <c r="R38" s="25">
        <f t="shared" si="3"/>
        <v>0</v>
      </c>
      <c r="S38" s="25">
        <f t="shared" si="4"/>
        <v>1</v>
      </c>
      <c r="T38" s="25">
        <f t="shared" si="5"/>
        <v>0</v>
      </c>
    </row>
    <row r="39" spans="1:20">
      <c r="A39" s="25" t="s">
        <v>31</v>
      </c>
      <c r="B39" s="32">
        <v>45689</v>
      </c>
      <c r="C39" s="25" t="s">
        <v>20</v>
      </c>
      <c r="D39" s="25" t="s">
        <v>28</v>
      </c>
      <c r="E39" s="25">
        <v>61245.41</v>
      </c>
      <c r="F39" s="25">
        <v>8156</v>
      </c>
      <c r="G39" s="25">
        <v>0.156</v>
      </c>
      <c r="H39" s="25">
        <v>19</v>
      </c>
      <c r="I39" s="25">
        <v>92.9</v>
      </c>
      <c r="J39" s="25">
        <v>9.0500000000000007</v>
      </c>
      <c r="K39" s="25">
        <v>0</v>
      </c>
      <c r="L39" s="25">
        <v>3.8</v>
      </c>
      <c r="M39" s="25">
        <v>718330.53</v>
      </c>
      <c r="N39" s="25">
        <v>93247.9</v>
      </c>
      <c r="O39" s="25">
        <f t="shared" si="0"/>
        <v>1</v>
      </c>
      <c r="P39" s="25">
        <f t="shared" si="1"/>
        <v>0</v>
      </c>
      <c r="Q39" s="25">
        <f t="shared" si="2"/>
        <v>0</v>
      </c>
      <c r="R39" s="25">
        <f t="shared" si="3"/>
        <v>0</v>
      </c>
      <c r="S39" s="25">
        <f t="shared" si="4"/>
        <v>1</v>
      </c>
      <c r="T39" s="25">
        <f t="shared" si="5"/>
        <v>0</v>
      </c>
    </row>
    <row r="40" spans="1:20">
      <c r="A40" s="25" t="s">
        <v>31</v>
      </c>
      <c r="B40" s="32">
        <v>45717</v>
      </c>
      <c r="C40" s="25" t="s">
        <v>20</v>
      </c>
      <c r="D40" s="25" t="s">
        <v>28</v>
      </c>
      <c r="E40" s="25">
        <v>93381.26</v>
      </c>
      <c r="F40" s="25">
        <v>7562</v>
      </c>
      <c r="G40" s="25">
        <v>0.19800000000000001</v>
      </c>
      <c r="H40" s="25">
        <v>19</v>
      </c>
      <c r="I40" s="25">
        <v>82.9</v>
      </c>
      <c r="J40" s="25">
        <v>5.05</v>
      </c>
      <c r="K40" s="25">
        <v>0</v>
      </c>
      <c r="L40" s="25">
        <v>4</v>
      </c>
      <c r="M40" s="25">
        <v>736633.4</v>
      </c>
      <c r="N40" s="25">
        <v>115654.66</v>
      </c>
      <c r="O40" s="25">
        <f t="shared" si="0"/>
        <v>1</v>
      </c>
      <c r="P40" s="25">
        <f t="shared" si="1"/>
        <v>0</v>
      </c>
      <c r="Q40" s="25">
        <f t="shared" si="2"/>
        <v>0</v>
      </c>
      <c r="R40" s="25">
        <f t="shared" si="3"/>
        <v>0</v>
      </c>
      <c r="S40" s="25">
        <f t="shared" si="4"/>
        <v>1</v>
      </c>
      <c r="T40" s="25">
        <f t="shared" si="5"/>
        <v>0</v>
      </c>
    </row>
    <row r="41" spans="1:20">
      <c r="A41" s="25" t="s">
        <v>31</v>
      </c>
      <c r="B41" s="32">
        <v>45748</v>
      </c>
      <c r="C41" s="25" t="s">
        <v>20</v>
      </c>
      <c r="D41" s="25" t="s">
        <v>28</v>
      </c>
      <c r="E41" s="25">
        <v>65012.19</v>
      </c>
      <c r="F41" s="25">
        <v>9598</v>
      </c>
      <c r="G41" s="25">
        <v>8.5000000000000006E-2</v>
      </c>
      <c r="H41" s="25">
        <v>24</v>
      </c>
      <c r="I41" s="25">
        <v>98.3</v>
      </c>
      <c r="J41" s="25">
        <v>0.89</v>
      </c>
      <c r="K41" s="25">
        <v>0</v>
      </c>
      <c r="L41" s="25">
        <v>3.8</v>
      </c>
      <c r="M41" s="25">
        <v>828623.85</v>
      </c>
      <c r="N41" s="25">
        <v>167320.51999999999</v>
      </c>
      <c r="O41" s="25">
        <f t="shared" si="0"/>
        <v>1</v>
      </c>
      <c r="P41" s="25">
        <f t="shared" si="1"/>
        <v>0</v>
      </c>
      <c r="Q41" s="25">
        <f t="shared" si="2"/>
        <v>0</v>
      </c>
      <c r="R41" s="25">
        <f t="shared" si="3"/>
        <v>0</v>
      </c>
      <c r="S41" s="25">
        <f t="shared" si="4"/>
        <v>1</v>
      </c>
      <c r="T41" s="25">
        <f t="shared" si="5"/>
        <v>0</v>
      </c>
    </row>
    <row r="42" spans="1:20">
      <c r="A42" s="25" t="s">
        <v>32</v>
      </c>
      <c r="B42" s="32">
        <v>45658</v>
      </c>
      <c r="C42" s="25" t="s">
        <v>15</v>
      </c>
      <c r="D42" s="25" t="s">
        <v>28</v>
      </c>
      <c r="E42" s="25">
        <v>40462.94</v>
      </c>
      <c r="F42" s="25">
        <v>3660</v>
      </c>
      <c r="G42" s="25">
        <v>0.218</v>
      </c>
      <c r="H42" s="25">
        <v>11</v>
      </c>
      <c r="I42" s="25">
        <v>95.2</v>
      </c>
      <c r="J42" s="25">
        <v>5.57</v>
      </c>
      <c r="K42" s="25">
        <v>0</v>
      </c>
      <c r="L42" s="25">
        <v>4.4000000000000004</v>
      </c>
      <c r="M42" s="25">
        <v>592195.85</v>
      </c>
      <c r="N42" s="25">
        <v>92291.56</v>
      </c>
      <c r="O42" s="25">
        <f t="shared" si="0"/>
        <v>0</v>
      </c>
      <c r="P42" s="25">
        <f t="shared" si="1"/>
        <v>0</v>
      </c>
      <c r="Q42" s="25">
        <f t="shared" si="2"/>
        <v>0</v>
      </c>
      <c r="R42" s="25">
        <f t="shared" si="3"/>
        <v>0</v>
      </c>
      <c r="S42" s="25">
        <f t="shared" si="4"/>
        <v>1</v>
      </c>
      <c r="T42" s="25">
        <f t="shared" si="5"/>
        <v>0</v>
      </c>
    </row>
    <row r="43" spans="1:20">
      <c r="A43" s="25" t="s">
        <v>32</v>
      </c>
      <c r="B43" s="32">
        <v>45689</v>
      </c>
      <c r="C43" s="25" t="s">
        <v>15</v>
      </c>
      <c r="D43" s="25" t="s">
        <v>28</v>
      </c>
      <c r="E43" s="25">
        <v>46123.88</v>
      </c>
      <c r="F43" s="25">
        <v>3227</v>
      </c>
      <c r="G43" s="25">
        <v>0.14299999999999999</v>
      </c>
      <c r="H43" s="25">
        <v>10</v>
      </c>
      <c r="I43" s="25">
        <v>75.400000000000006</v>
      </c>
      <c r="J43" s="25">
        <v>1.06</v>
      </c>
      <c r="K43" s="25">
        <v>0</v>
      </c>
      <c r="L43" s="25">
        <v>4.4000000000000004</v>
      </c>
      <c r="M43" s="25">
        <v>532644.46</v>
      </c>
      <c r="N43" s="25">
        <v>60681.32</v>
      </c>
      <c r="O43" s="25">
        <f t="shared" si="0"/>
        <v>0</v>
      </c>
      <c r="P43" s="25">
        <f t="shared" si="1"/>
        <v>0</v>
      </c>
      <c r="Q43" s="25">
        <f t="shared" si="2"/>
        <v>0</v>
      </c>
      <c r="R43" s="25">
        <f t="shared" si="3"/>
        <v>0</v>
      </c>
      <c r="S43" s="25">
        <f t="shared" si="4"/>
        <v>1</v>
      </c>
      <c r="T43" s="25">
        <f t="shared" si="5"/>
        <v>0</v>
      </c>
    </row>
    <row r="44" spans="1:20">
      <c r="A44" s="25" t="s">
        <v>32</v>
      </c>
      <c r="B44" s="32">
        <v>45717</v>
      </c>
      <c r="C44" s="25" t="s">
        <v>15</v>
      </c>
      <c r="D44" s="25" t="s">
        <v>28</v>
      </c>
      <c r="E44" s="25">
        <v>68077.539999999994</v>
      </c>
      <c r="F44" s="25">
        <v>3360</v>
      </c>
      <c r="G44" s="25">
        <v>0.128</v>
      </c>
      <c r="H44" s="25">
        <v>14</v>
      </c>
      <c r="I44" s="25">
        <v>88.2</v>
      </c>
      <c r="J44" s="25">
        <v>1.24</v>
      </c>
      <c r="K44" s="25">
        <v>1</v>
      </c>
      <c r="L44" s="25">
        <v>4</v>
      </c>
      <c r="M44" s="25">
        <v>657429.18000000005</v>
      </c>
      <c r="N44" s="25">
        <v>88919.74</v>
      </c>
      <c r="O44" s="25">
        <f t="shared" si="0"/>
        <v>0</v>
      </c>
      <c r="P44" s="25">
        <f t="shared" si="1"/>
        <v>0</v>
      </c>
      <c r="Q44" s="25">
        <f t="shared" si="2"/>
        <v>0</v>
      </c>
      <c r="R44" s="25">
        <f t="shared" si="3"/>
        <v>0</v>
      </c>
      <c r="S44" s="25">
        <f t="shared" si="4"/>
        <v>1</v>
      </c>
      <c r="T44" s="25">
        <f t="shared" si="5"/>
        <v>0</v>
      </c>
    </row>
    <row r="45" spans="1:20">
      <c r="A45" s="25" t="s">
        <v>32</v>
      </c>
      <c r="B45" s="32">
        <v>45748</v>
      </c>
      <c r="C45" s="25" t="s">
        <v>15</v>
      </c>
      <c r="D45" s="25" t="s">
        <v>28</v>
      </c>
      <c r="E45" s="25">
        <v>64882.14</v>
      </c>
      <c r="F45" s="25">
        <v>3642</v>
      </c>
      <c r="G45" s="25">
        <v>1.9E-2</v>
      </c>
      <c r="H45" s="25">
        <v>13</v>
      </c>
      <c r="I45" s="25">
        <v>87.8</v>
      </c>
      <c r="J45" s="25">
        <v>4.5199999999999996</v>
      </c>
      <c r="K45" s="25">
        <v>0</v>
      </c>
      <c r="L45" s="25">
        <v>4.2</v>
      </c>
      <c r="M45" s="25">
        <v>605178</v>
      </c>
      <c r="N45" s="25">
        <v>106958.74</v>
      </c>
      <c r="O45" s="25">
        <f t="shared" si="0"/>
        <v>0</v>
      </c>
      <c r="P45" s="25">
        <f t="shared" si="1"/>
        <v>0</v>
      </c>
      <c r="Q45" s="25">
        <f t="shared" si="2"/>
        <v>0</v>
      </c>
      <c r="R45" s="25">
        <f t="shared" si="3"/>
        <v>0</v>
      </c>
      <c r="S45" s="25">
        <f t="shared" si="4"/>
        <v>1</v>
      </c>
      <c r="T45" s="25">
        <f t="shared" si="5"/>
        <v>0</v>
      </c>
    </row>
    <row r="46" spans="1:20">
      <c r="A46" s="25" t="s">
        <v>33</v>
      </c>
      <c r="B46" s="32">
        <v>45658</v>
      </c>
      <c r="C46" s="25" t="s">
        <v>27</v>
      </c>
      <c r="D46" s="25" t="s">
        <v>16</v>
      </c>
      <c r="E46" s="25">
        <v>138855.51</v>
      </c>
      <c r="F46" s="25">
        <v>5145</v>
      </c>
      <c r="G46" s="25">
        <v>0.06</v>
      </c>
      <c r="H46" s="25">
        <v>17</v>
      </c>
      <c r="I46" s="25">
        <v>88.2</v>
      </c>
      <c r="J46" s="25">
        <v>9.58</v>
      </c>
      <c r="K46" s="25">
        <v>0</v>
      </c>
      <c r="L46" s="25">
        <v>3.2</v>
      </c>
      <c r="M46" s="25">
        <v>595467.6</v>
      </c>
      <c r="N46" s="25">
        <v>104276.46</v>
      </c>
      <c r="O46" s="25">
        <f t="shared" si="0"/>
        <v>0</v>
      </c>
      <c r="P46" s="25">
        <f t="shared" si="1"/>
        <v>0</v>
      </c>
      <c r="Q46" s="25">
        <f t="shared" si="2"/>
        <v>1</v>
      </c>
      <c r="R46" s="25">
        <f t="shared" si="3"/>
        <v>0</v>
      </c>
      <c r="S46" s="25">
        <f t="shared" si="4"/>
        <v>0</v>
      </c>
      <c r="T46" s="25">
        <f t="shared" si="5"/>
        <v>1</v>
      </c>
    </row>
    <row r="47" spans="1:20">
      <c r="A47" s="25" t="s">
        <v>33</v>
      </c>
      <c r="B47" s="32">
        <v>45689</v>
      </c>
      <c r="C47" s="25" t="s">
        <v>27</v>
      </c>
      <c r="D47" s="25" t="s">
        <v>16</v>
      </c>
      <c r="E47" s="25">
        <v>63630.21</v>
      </c>
      <c r="F47" s="25">
        <v>4460</v>
      </c>
      <c r="G47" s="25">
        <v>0.23499999999999999</v>
      </c>
      <c r="H47" s="25">
        <v>14</v>
      </c>
      <c r="I47" s="25">
        <v>98.6</v>
      </c>
      <c r="J47" s="25">
        <v>5.52</v>
      </c>
      <c r="K47" s="25">
        <v>0</v>
      </c>
      <c r="L47" s="25">
        <v>3.5</v>
      </c>
      <c r="M47" s="25">
        <v>599603.4</v>
      </c>
      <c r="N47" s="25">
        <v>112685.12</v>
      </c>
      <c r="O47" s="25">
        <f t="shared" si="0"/>
        <v>0</v>
      </c>
      <c r="P47" s="25">
        <f t="shared" si="1"/>
        <v>0</v>
      </c>
      <c r="Q47" s="25">
        <f t="shared" si="2"/>
        <v>1</v>
      </c>
      <c r="R47" s="25">
        <f t="shared" si="3"/>
        <v>0</v>
      </c>
      <c r="S47" s="25">
        <f t="shared" si="4"/>
        <v>0</v>
      </c>
      <c r="T47" s="25">
        <f t="shared" si="5"/>
        <v>1</v>
      </c>
    </row>
    <row r="48" spans="1:20">
      <c r="A48" s="25" t="s">
        <v>33</v>
      </c>
      <c r="B48" s="32">
        <v>45717</v>
      </c>
      <c r="C48" s="25" t="s">
        <v>27</v>
      </c>
      <c r="D48" s="25" t="s">
        <v>16</v>
      </c>
      <c r="E48" s="25">
        <v>50043.65</v>
      </c>
      <c r="F48" s="25">
        <v>3804</v>
      </c>
      <c r="G48" s="25">
        <v>0.113</v>
      </c>
      <c r="H48" s="25">
        <v>11</v>
      </c>
      <c r="I48" s="25">
        <v>90.9</v>
      </c>
      <c r="J48" s="25">
        <v>2.7</v>
      </c>
      <c r="K48" s="25">
        <v>1</v>
      </c>
      <c r="L48" s="25">
        <v>3.2</v>
      </c>
      <c r="M48" s="25">
        <v>614800.09</v>
      </c>
      <c r="N48" s="25">
        <v>100044.2</v>
      </c>
      <c r="O48" s="25">
        <f t="shared" si="0"/>
        <v>0</v>
      </c>
      <c r="P48" s="25">
        <f t="shared" si="1"/>
        <v>0</v>
      </c>
      <c r="Q48" s="25">
        <f t="shared" si="2"/>
        <v>1</v>
      </c>
      <c r="R48" s="25">
        <f t="shared" si="3"/>
        <v>0</v>
      </c>
      <c r="S48" s="25">
        <f t="shared" si="4"/>
        <v>0</v>
      </c>
      <c r="T48" s="25">
        <f t="shared" si="5"/>
        <v>1</v>
      </c>
    </row>
    <row r="49" spans="1:20">
      <c r="A49" s="25" t="s">
        <v>33</v>
      </c>
      <c r="B49" s="32">
        <v>45748</v>
      </c>
      <c r="C49" s="25" t="s">
        <v>27</v>
      </c>
      <c r="D49" s="25" t="s">
        <v>16</v>
      </c>
      <c r="E49" s="25">
        <v>42093.84</v>
      </c>
      <c r="F49" s="25">
        <v>4074</v>
      </c>
      <c r="G49" s="25">
        <v>0.155</v>
      </c>
      <c r="H49" s="25">
        <v>15</v>
      </c>
      <c r="I49" s="25">
        <v>88</v>
      </c>
      <c r="J49" s="25">
        <v>9.64</v>
      </c>
      <c r="K49" s="25">
        <v>0</v>
      </c>
      <c r="L49" s="25">
        <v>3.3</v>
      </c>
      <c r="M49" s="25">
        <v>585365.73</v>
      </c>
      <c r="N49" s="25">
        <v>81011.520000000004</v>
      </c>
      <c r="O49" s="25">
        <f t="shared" si="0"/>
        <v>0</v>
      </c>
      <c r="P49" s="25">
        <f t="shared" si="1"/>
        <v>0</v>
      </c>
      <c r="Q49" s="25">
        <f t="shared" si="2"/>
        <v>1</v>
      </c>
      <c r="R49" s="25">
        <f t="shared" si="3"/>
        <v>0</v>
      </c>
      <c r="S49" s="25">
        <f t="shared" si="4"/>
        <v>0</v>
      </c>
      <c r="T49" s="25">
        <f t="shared" si="5"/>
        <v>1</v>
      </c>
    </row>
    <row r="50" spans="1:20">
      <c r="A50" s="25" t="s">
        <v>34</v>
      </c>
      <c r="B50" s="32">
        <v>45658</v>
      </c>
      <c r="C50" s="25" t="s">
        <v>20</v>
      </c>
      <c r="D50" s="25" t="s">
        <v>28</v>
      </c>
      <c r="E50" s="25">
        <v>46624.05</v>
      </c>
      <c r="F50" s="25">
        <v>5104</v>
      </c>
      <c r="G50" s="25">
        <v>0.109</v>
      </c>
      <c r="H50" s="25">
        <v>11</v>
      </c>
      <c r="I50" s="25">
        <v>97.3</v>
      </c>
      <c r="J50" s="25">
        <v>3.49</v>
      </c>
      <c r="K50" s="25">
        <v>1</v>
      </c>
      <c r="L50" s="25">
        <v>4.7</v>
      </c>
      <c r="M50" s="25">
        <v>622811.74</v>
      </c>
      <c r="N50" s="25">
        <v>109978.35</v>
      </c>
      <c r="O50" s="25">
        <f t="shared" si="0"/>
        <v>1</v>
      </c>
      <c r="P50" s="25">
        <f t="shared" si="1"/>
        <v>0</v>
      </c>
      <c r="Q50" s="25">
        <f t="shared" si="2"/>
        <v>0</v>
      </c>
      <c r="R50" s="25">
        <f t="shared" si="3"/>
        <v>0</v>
      </c>
      <c r="S50" s="25">
        <f t="shared" si="4"/>
        <v>1</v>
      </c>
      <c r="T50" s="25">
        <f t="shared" si="5"/>
        <v>0</v>
      </c>
    </row>
    <row r="51" spans="1:20">
      <c r="A51" s="25" t="s">
        <v>34</v>
      </c>
      <c r="B51" s="32">
        <v>45689</v>
      </c>
      <c r="C51" s="25" t="s">
        <v>20</v>
      </c>
      <c r="D51" s="25" t="s">
        <v>28</v>
      </c>
      <c r="E51" s="25">
        <v>49710.29</v>
      </c>
      <c r="F51" s="25">
        <v>5559</v>
      </c>
      <c r="G51" s="25">
        <v>0.218</v>
      </c>
      <c r="H51" s="25">
        <v>14</v>
      </c>
      <c r="I51" s="25">
        <v>71</v>
      </c>
      <c r="J51" s="25">
        <v>9.11</v>
      </c>
      <c r="K51" s="25">
        <v>0</v>
      </c>
      <c r="L51" s="25">
        <v>4.5999999999999996</v>
      </c>
      <c r="M51" s="25">
        <v>603297.56999999995</v>
      </c>
      <c r="N51" s="25">
        <v>60592.26</v>
      </c>
      <c r="O51" s="25">
        <f t="shared" si="0"/>
        <v>1</v>
      </c>
      <c r="P51" s="25">
        <f t="shared" si="1"/>
        <v>0</v>
      </c>
      <c r="Q51" s="25">
        <f t="shared" si="2"/>
        <v>0</v>
      </c>
      <c r="R51" s="25">
        <f t="shared" si="3"/>
        <v>0</v>
      </c>
      <c r="S51" s="25">
        <f t="shared" si="4"/>
        <v>1</v>
      </c>
      <c r="T51" s="25">
        <f t="shared" si="5"/>
        <v>0</v>
      </c>
    </row>
    <row r="52" spans="1:20">
      <c r="A52" s="25" t="s">
        <v>34</v>
      </c>
      <c r="B52" s="32">
        <v>45717</v>
      </c>
      <c r="C52" s="25" t="s">
        <v>20</v>
      </c>
      <c r="D52" s="25" t="s">
        <v>28</v>
      </c>
      <c r="E52" s="25">
        <v>48287.85</v>
      </c>
      <c r="F52" s="25">
        <v>5150</v>
      </c>
      <c r="G52" s="25">
        <v>8.0000000000000002E-3</v>
      </c>
      <c r="H52" s="25">
        <v>12</v>
      </c>
      <c r="I52" s="25">
        <v>80.400000000000006</v>
      </c>
      <c r="J52" s="25">
        <v>7.4</v>
      </c>
      <c r="K52" s="25">
        <v>0</v>
      </c>
      <c r="L52" s="25">
        <v>4.5</v>
      </c>
      <c r="M52" s="25">
        <v>625672.86</v>
      </c>
      <c r="N52" s="25">
        <v>118020.12</v>
      </c>
      <c r="O52" s="25">
        <f t="shared" si="0"/>
        <v>1</v>
      </c>
      <c r="P52" s="25">
        <f t="shared" si="1"/>
        <v>0</v>
      </c>
      <c r="Q52" s="25">
        <f t="shared" si="2"/>
        <v>0</v>
      </c>
      <c r="R52" s="25">
        <f t="shared" si="3"/>
        <v>0</v>
      </c>
      <c r="S52" s="25">
        <f t="shared" si="4"/>
        <v>1</v>
      </c>
      <c r="T52" s="25">
        <f t="shared" si="5"/>
        <v>0</v>
      </c>
    </row>
    <row r="53" spans="1:20">
      <c r="A53" s="25" t="s">
        <v>34</v>
      </c>
      <c r="B53" s="32">
        <v>45748</v>
      </c>
      <c r="C53" s="25" t="s">
        <v>20</v>
      </c>
      <c r="D53" s="25" t="s">
        <v>28</v>
      </c>
      <c r="E53" s="25">
        <v>65312.49</v>
      </c>
      <c r="F53" s="25">
        <v>7189</v>
      </c>
      <c r="G53" s="25">
        <v>0.05</v>
      </c>
      <c r="H53" s="25">
        <v>19</v>
      </c>
      <c r="I53" s="25">
        <v>93.7</v>
      </c>
      <c r="J53" s="25">
        <v>7.16</v>
      </c>
      <c r="K53" s="25">
        <v>0</v>
      </c>
      <c r="L53" s="25">
        <v>4.5999999999999996</v>
      </c>
      <c r="M53" s="25">
        <v>773815.14</v>
      </c>
      <c r="N53" s="25">
        <v>133948.39000000001</v>
      </c>
      <c r="O53" s="25">
        <f t="shared" si="0"/>
        <v>1</v>
      </c>
      <c r="P53" s="25">
        <f t="shared" si="1"/>
        <v>0</v>
      </c>
      <c r="Q53" s="25">
        <f t="shared" si="2"/>
        <v>0</v>
      </c>
      <c r="R53" s="25">
        <f t="shared" si="3"/>
        <v>0</v>
      </c>
      <c r="S53" s="25">
        <f t="shared" si="4"/>
        <v>1</v>
      </c>
      <c r="T53" s="25">
        <f t="shared" si="5"/>
        <v>0</v>
      </c>
    </row>
    <row r="54" spans="1:20">
      <c r="A54" s="25" t="s">
        <v>35</v>
      </c>
      <c r="B54" s="32">
        <v>45658</v>
      </c>
      <c r="C54" s="25" t="s">
        <v>27</v>
      </c>
      <c r="D54" s="25" t="s">
        <v>18</v>
      </c>
      <c r="E54" s="25">
        <v>53015.46</v>
      </c>
      <c r="F54" s="25">
        <v>3279</v>
      </c>
      <c r="G54" s="25">
        <v>8.6999999999999994E-2</v>
      </c>
      <c r="H54" s="25">
        <v>9</v>
      </c>
      <c r="I54" s="25">
        <v>84.3</v>
      </c>
      <c r="J54" s="25">
        <v>22.02</v>
      </c>
      <c r="K54" s="25">
        <v>0</v>
      </c>
      <c r="L54" s="25">
        <v>3.9</v>
      </c>
      <c r="M54" s="25">
        <v>463534.25</v>
      </c>
      <c r="N54" s="25">
        <v>81834.539999999994</v>
      </c>
      <c r="O54" s="25">
        <f t="shared" si="0"/>
        <v>0</v>
      </c>
      <c r="P54" s="25">
        <f t="shared" si="1"/>
        <v>0</v>
      </c>
      <c r="Q54" s="25">
        <f t="shared" si="2"/>
        <v>1</v>
      </c>
      <c r="R54" s="25">
        <f t="shared" si="3"/>
        <v>1</v>
      </c>
      <c r="S54" s="25">
        <f t="shared" si="4"/>
        <v>0</v>
      </c>
      <c r="T54" s="25">
        <f t="shared" si="5"/>
        <v>0</v>
      </c>
    </row>
    <row r="55" spans="1:20">
      <c r="A55" s="25" t="s">
        <v>35</v>
      </c>
      <c r="B55" s="32">
        <v>45689</v>
      </c>
      <c r="C55" s="25" t="s">
        <v>27</v>
      </c>
      <c r="D55" s="25" t="s">
        <v>18</v>
      </c>
      <c r="E55" s="25">
        <v>99874.01</v>
      </c>
      <c r="F55" s="25">
        <v>5887</v>
      </c>
      <c r="G55" s="25">
        <v>0.26200000000000001</v>
      </c>
      <c r="H55" s="25">
        <v>14</v>
      </c>
      <c r="I55" s="25">
        <v>88.7</v>
      </c>
      <c r="J55" s="25">
        <v>6.18</v>
      </c>
      <c r="K55" s="25">
        <v>0</v>
      </c>
      <c r="L55" s="25">
        <v>4.7</v>
      </c>
      <c r="M55" s="25">
        <v>746677.75</v>
      </c>
      <c r="N55" s="25">
        <v>122437.84</v>
      </c>
      <c r="O55" s="25">
        <f t="shared" si="0"/>
        <v>0</v>
      </c>
      <c r="P55" s="25">
        <f t="shared" si="1"/>
        <v>0</v>
      </c>
      <c r="Q55" s="25">
        <f t="shared" si="2"/>
        <v>1</v>
      </c>
      <c r="R55" s="25">
        <f t="shared" si="3"/>
        <v>1</v>
      </c>
      <c r="S55" s="25">
        <f t="shared" si="4"/>
        <v>0</v>
      </c>
      <c r="T55" s="25">
        <f t="shared" si="5"/>
        <v>0</v>
      </c>
    </row>
    <row r="56" spans="1:20">
      <c r="A56" s="25" t="s">
        <v>35</v>
      </c>
      <c r="B56" s="32">
        <v>45717</v>
      </c>
      <c r="C56" s="25" t="s">
        <v>27</v>
      </c>
      <c r="D56" s="25" t="s">
        <v>18</v>
      </c>
      <c r="E56" s="25">
        <v>81195.5</v>
      </c>
      <c r="F56" s="25">
        <v>5516</v>
      </c>
      <c r="G56" s="25">
        <v>0.106</v>
      </c>
      <c r="H56" s="25">
        <v>14</v>
      </c>
      <c r="I56" s="25">
        <v>88</v>
      </c>
      <c r="J56" s="25">
        <v>1.76</v>
      </c>
      <c r="K56" s="25">
        <v>0</v>
      </c>
      <c r="L56" s="25">
        <v>4.3</v>
      </c>
      <c r="M56" s="25">
        <v>720852.5</v>
      </c>
      <c r="N56" s="25">
        <v>98565.62</v>
      </c>
      <c r="O56" s="25">
        <f t="shared" si="0"/>
        <v>0</v>
      </c>
      <c r="P56" s="25">
        <f t="shared" si="1"/>
        <v>0</v>
      </c>
      <c r="Q56" s="25">
        <f t="shared" si="2"/>
        <v>1</v>
      </c>
      <c r="R56" s="25">
        <f t="shared" si="3"/>
        <v>1</v>
      </c>
      <c r="S56" s="25">
        <f t="shared" si="4"/>
        <v>0</v>
      </c>
      <c r="T56" s="25">
        <f t="shared" si="5"/>
        <v>0</v>
      </c>
    </row>
    <row r="57" spans="1:20">
      <c r="A57" s="25" t="s">
        <v>35</v>
      </c>
      <c r="B57" s="32">
        <v>45748</v>
      </c>
      <c r="C57" s="25" t="s">
        <v>27</v>
      </c>
      <c r="D57" s="25" t="s">
        <v>18</v>
      </c>
      <c r="E57" s="25">
        <v>27808.6</v>
      </c>
      <c r="F57" s="25">
        <v>2863</v>
      </c>
      <c r="G57" s="25">
        <v>0.08</v>
      </c>
      <c r="H57" s="25">
        <v>13</v>
      </c>
      <c r="I57" s="25">
        <v>89.3</v>
      </c>
      <c r="J57" s="25">
        <v>0.47</v>
      </c>
      <c r="K57" s="25">
        <v>0</v>
      </c>
      <c r="L57" s="25">
        <v>4.0999999999999996</v>
      </c>
      <c r="M57" s="25">
        <v>487464.91</v>
      </c>
      <c r="N57" s="25">
        <v>64562.26</v>
      </c>
      <c r="O57" s="25">
        <f t="shared" si="0"/>
        <v>0</v>
      </c>
      <c r="P57" s="25">
        <f t="shared" si="1"/>
        <v>0</v>
      </c>
      <c r="Q57" s="25">
        <f t="shared" si="2"/>
        <v>1</v>
      </c>
      <c r="R57" s="25">
        <f t="shared" si="3"/>
        <v>1</v>
      </c>
      <c r="S57" s="25">
        <f t="shared" si="4"/>
        <v>0</v>
      </c>
      <c r="T57" s="25">
        <f t="shared" si="5"/>
        <v>0</v>
      </c>
    </row>
    <row r="58" spans="1:20">
      <c r="A58" s="25" t="s">
        <v>36</v>
      </c>
      <c r="B58" s="32">
        <v>45658</v>
      </c>
      <c r="C58" s="25" t="s">
        <v>15</v>
      </c>
      <c r="D58" s="25" t="s">
        <v>21</v>
      </c>
      <c r="E58" s="25">
        <v>19365.060000000001</v>
      </c>
      <c r="F58" s="25">
        <v>2378</v>
      </c>
      <c r="G58" s="25">
        <v>0</v>
      </c>
      <c r="H58" s="25">
        <v>12</v>
      </c>
      <c r="I58" s="25">
        <v>94.8</v>
      </c>
      <c r="J58" s="25">
        <v>0.2</v>
      </c>
      <c r="K58" s="25">
        <v>0</v>
      </c>
      <c r="L58" s="25">
        <v>3.5</v>
      </c>
      <c r="M58" s="25">
        <v>518049.26</v>
      </c>
      <c r="N58" s="25">
        <v>108592.49</v>
      </c>
      <c r="O58" s="25">
        <f t="shared" si="0"/>
        <v>0</v>
      </c>
      <c r="P58" s="25">
        <f t="shared" si="1"/>
        <v>0</v>
      </c>
      <c r="Q58" s="25">
        <f t="shared" si="2"/>
        <v>0</v>
      </c>
      <c r="R58" s="25">
        <f t="shared" si="3"/>
        <v>0</v>
      </c>
      <c r="S58" s="25">
        <f t="shared" si="4"/>
        <v>0</v>
      </c>
      <c r="T58" s="25">
        <f t="shared" si="5"/>
        <v>0</v>
      </c>
    </row>
    <row r="59" spans="1:20">
      <c r="A59" s="25" t="s">
        <v>36</v>
      </c>
      <c r="B59" s="32">
        <v>45689</v>
      </c>
      <c r="C59" s="25" t="s">
        <v>15</v>
      </c>
      <c r="D59" s="25" t="s">
        <v>21</v>
      </c>
      <c r="E59" s="25">
        <v>59405.68</v>
      </c>
      <c r="F59" s="25">
        <v>2515</v>
      </c>
      <c r="G59" s="25">
        <v>3.9E-2</v>
      </c>
      <c r="H59" s="25">
        <v>12</v>
      </c>
      <c r="I59" s="25">
        <v>76</v>
      </c>
      <c r="J59" s="25">
        <v>5.1100000000000003</v>
      </c>
      <c r="K59" s="25">
        <v>0</v>
      </c>
      <c r="L59" s="25">
        <v>3.7</v>
      </c>
      <c r="M59" s="25">
        <v>500298.48</v>
      </c>
      <c r="N59" s="25">
        <v>73461.320000000007</v>
      </c>
      <c r="O59" s="25">
        <f t="shared" si="0"/>
        <v>0</v>
      </c>
      <c r="P59" s="25">
        <f t="shared" si="1"/>
        <v>0</v>
      </c>
      <c r="Q59" s="25">
        <f t="shared" si="2"/>
        <v>0</v>
      </c>
      <c r="R59" s="25">
        <f t="shared" si="3"/>
        <v>0</v>
      </c>
      <c r="S59" s="25">
        <f t="shared" si="4"/>
        <v>0</v>
      </c>
      <c r="T59" s="25">
        <f t="shared" si="5"/>
        <v>0</v>
      </c>
    </row>
    <row r="60" spans="1:20">
      <c r="A60" s="25" t="s">
        <v>36</v>
      </c>
      <c r="B60" s="32">
        <v>45717</v>
      </c>
      <c r="C60" s="25" t="s">
        <v>15</v>
      </c>
      <c r="D60" s="25" t="s">
        <v>21</v>
      </c>
      <c r="E60" s="25">
        <v>118910.48</v>
      </c>
      <c r="F60" s="25">
        <v>4022</v>
      </c>
      <c r="G60" s="25">
        <v>0.13700000000000001</v>
      </c>
      <c r="H60" s="25">
        <v>11</v>
      </c>
      <c r="I60" s="25">
        <v>87.1</v>
      </c>
      <c r="J60" s="25">
        <v>0.2</v>
      </c>
      <c r="K60" s="25">
        <v>0</v>
      </c>
      <c r="L60" s="25">
        <v>3.1</v>
      </c>
      <c r="M60" s="25">
        <v>617291.15</v>
      </c>
      <c r="N60" s="25">
        <v>117782</v>
      </c>
      <c r="O60" s="25">
        <f t="shared" si="0"/>
        <v>0</v>
      </c>
      <c r="P60" s="25">
        <f t="shared" si="1"/>
        <v>0</v>
      </c>
      <c r="Q60" s="25">
        <f t="shared" si="2"/>
        <v>0</v>
      </c>
      <c r="R60" s="25">
        <f t="shared" si="3"/>
        <v>0</v>
      </c>
      <c r="S60" s="25">
        <f t="shared" si="4"/>
        <v>0</v>
      </c>
      <c r="T60" s="25">
        <f t="shared" si="5"/>
        <v>0</v>
      </c>
    </row>
    <row r="61" spans="1:20">
      <c r="A61" s="25" t="s">
        <v>36</v>
      </c>
      <c r="B61" s="32">
        <v>45748</v>
      </c>
      <c r="C61" s="25" t="s">
        <v>15</v>
      </c>
      <c r="D61" s="25" t="s">
        <v>21</v>
      </c>
      <c r="E61" s="25">
        <v>52952.12</v>
      </c>
      <c r="F61" s="25">
        <v>4377</v>
      </c>
      <c r="G61" s="25">
        <v>9.1999999999999998E-2</v>
      </c>
      <c r="H61" s="25">
        <v>14</v>
      </c>
      <c r="I61" s="25">
        <v>88.6</v>
      </c>
      <c r="J61" s="25">
        <v>13.59</v>
      </c>
      <c r="K61" s="25">
        <v>0</v>
      </c>
      <c r="L61" s="25">
        <v>3.1</v>
      </c>
      <c r="M61" s="25">
        <v>553756.43000000005</v>
      </c>
      <c r="N61" s="25">
        <v>86166.77</v>
      </c>
      <c r="O61" s="25">
        <f t="shared" si="0"/>
        <v>0</v>
      </c>
      <c r="P61" s="25">
        <f t="shared" si="1"/>
        <v>0</v>
      </c>
      <c r="Q61" s="25">
        <f t="shared" si="2"/>
        <v>0</v>
      </c>
      <c r="R61" s="25">
        <f t="shared" si="3"/>
        <v>0</v>
      </c>
      <c r="S61" s="25">
        <f t="shared" si="4"/>
        <v>0</v>
      </c>
      <c r="T61" s="25">
        <f t="shared" si="5"/>
        <v>0</v>
      </c>
    </row>
    <row r="62" spans="1:20">
      <c r="A62" s="25" t="s">
        <v>37</v>
      </c>
      <c r="B62" s="32">
        <v>45658</v>
      </c>
      <c r="C62" s="25" t="s">
        <v>24</v>
      </c>
      <c r="D62" s="25" t="s">
        <v>18</v>
      </c>
      <c r="E62" s="25">
        <v>74907.98</v>
      </c>
      <c r="F62" s="25">
        <v>5306</v>
      </c>
      <c r="G62" s="25">
        <v>6.2E-2</v>
      </c>
      <c r="H62" s="25">
        <v>16</v>
      </c>
      <c r="I62" s="25">
        <v>95.6</v>
      </c>
      <c r="J62" s="25">
        <v>1.02</v>
      </c>
      <c r="K62" s="25">
        <v>0</v>
      </c>
      <c r="L62" s="25">
        <v>3.7</v>
      </c>
      <c r="M62" s="25">
        <v>749559.71</v>
      </c>
      <c r="N62" s="25">
        <v>144522.53</v>
      </c>
      <c r="O62" s="25">
        <f t="shared" si="0"/>
        <v>0</v>
      </c>
      <c r="P62" s="25">
        <f t="shared" si="1"/>
        <v>1</v>
      </c>
      <c r="Q62" s="25">
        <f t="shared" si="2"/>
        <v>0</v>
      </c>
      <c r="R62" s="25">
        <f t="shared" si="3"/>
        <v>1</v>
      </c>
      <c r="S62" s="25">
        <f t="shared" si="4"/>
        <v>0</v>
      </c>
      <c r="T62" s="25">
        <f t="shared" si="5"/>
        <v>0</v>
      </c>
    </row>
    <row r="63" spans="1:20">
      <c r="A63" s="25" t="s">
        <v>37</v>
      </c>
      <c r="B63" s="32">
        <v>45689</v>
      </c>
      <c r="C63" s="25" t="s">
        <v>24</v>
      </c>
      <c r="D63" s="25" t="s">
        <v>18</v>
      </c>
      <c r="E63" s="25">
        <v>37284.660000000003</v>
      </c>
      <c r="F63" s="25">
        <v>3928</v>
      </c>
      <c r="G63" s="25">
        <v>7.3999999999999996E-2</v>
      </c>
      <c r="H63" s="25">
        <v>12</v>
      </c>
      <c r="I63" s="25">
        <v>86.5</v>
      </c>
      <c r="J63" s="25">
        <v>1.64</v>
      </c>
      <c r="K63" s="25">
        <v>0</v>
      </c>
      <c r="L63" s="25">
        <v>3.8</v>
      </c>
      <c r="M63" s="25">
        <v>615966.48</v>
      </c>
      <c r="N63" s="25">
        <v>91509.38</v>
      </c>
      <c r="O63" s="25">
        <f t="shared" si="0"/>
        <v>0</v>
      </c>
      <c r="P63" s="25">
        <f t="shared" si="1"/>
        <v>1</v>
      </c>
      <c r="Q63" s="25">
        <f t="shared" si="2"/>
        <v>0</v>
      </c>
      <c r="R63" s="25">
        <f t="shared" si="3"/>
        <v>1</v>
      </c>
      <c r="S63" s="25">
        <f t="shared" si="4"/>
        <v>0</v>
      </c>
      <c r="T63" s="25">
        <f t="shared" si="5"/>
        <v>0</v>
      </c>
    </row>
    <row r="64" spans="1:20">
      <c r="A64" s="25" t="s">
        <v>37</v>
      </c>
      <c r="B64" s="32">
        <v>45717</v>
      </c>
      <c r="C64" s="25" t="s">
        <v>24</v>
      </c>
      <c r="D64" s="25" t="s">
        <v>18</v>
      </c>
      <c r="E64" s="25">
        <v>50343.19</v>
      </c>
      <c r="F64" s="25">
        <v>3845</v>
      </c>
      <c r="G64" s="25">
        <v>0.113</v>
      </c>
      <c r="H64" s="25">
        <v>9</v>
      </c>
      <c r="I64" s="25">
        <v>88.7</v>
      </c>
      <c r="J64" s="25">
        <v>5.15</v>
      </c>
      <c r="K64" s="25">
        <v>0</v>
      </c>
      <c r="L64" s="25">
        <v>3.3</v>
      </c>
      <c r="M64" s="25">
        <v>572011.19999999995</v>
      </c>
      <c r="N64" s="25">
        <v>101409.68</v>
      </c>
      <c r="O64" s="25">
        <f t="shared" si="0"/>
        <v>0</v>
      </c>
      <c r="P64" s="25">
        <f t="shared" si="1"/>
        <v>1</v>
      </c>
      <c r="Q64" s="25">
        <f t="shared" si="2"/>
        <v>0</v>
      </c>
      <c r="R64" s="25">
        <f t="shared" si="3"/>
        <v>1</v>
      </c>
      <c r="S64" s="25">
        <f t="shared" si="4"/>
        <v>0</v>
      </c>
      <c r="T64" s="25">
        <f t="shared" si="5"/>
        <v>0</v>
      </c>
    </row>
    <row r="65" spans="1:20">
      <c r="A65" s="25" t="s">
        <v>37</v>
      </c>
      <c r="B65" s="32">
        <v>45748</v>
      </c>
      <c r="C65" s="25" t="s">
        <v>24</v>
      </c>
      <c r="D65" s="25" t="s">
        <v>18</v>
      </c>
      <c r="E65" s="25">
        <v>74954.47</v>
      </c>
      <c r="F65" s="25">
        <v>6620</v>
      </c>
      <c r="G65" s="25">
        <v>5.3999999999999999E-2</v>
      </c>
      <c r="H65" s="25">
        <v>17</v>
      </c>
      <c r="I65" s="25">
        <v>91.1</v>
      </c>
      <c r="J65" s="25">
        <v>1.1100000000000001</v>
      </c>
      <c r="K65" s="25">
        <v>0</v>
      </c>
      <c r="L65" s="25">
        <v>3.5</v>
      </c>
      <c r="M65" s="25">
        <v>761860.19</v>
      </c>
      <c r="N65" s="25">
        <v>133279.38</v>
      </c>
      <c r="O65" s="25">
        <f t="shared" si="0"/>
        <v>0</v>
      </c>
      <c r="P65" s="25">
        <f t="shared" si="1"/>
        <v>1</v>
      </c>
      <c r="Q65" s="25">
        <f t="shared" si="2"/>
        <v>0</v>
      </c>
      <c r="R65" s="25">
        <f t="shared" si="3"/>
        <v>1</v>
      </c>
      <c r="S65" s="25">
        <f t="shared" si="4"/>
        <v>0</v>
      </c>
      <c r="T65" s="25">
        <f t="shared" si="5"/>
        <v>0</v>
      </c>
    </row>
    <row r="66" spans="1:20">
      <c r="A66" s="25" t="s">
        <v>38</v>
      </c>
      <c r="B66" s="32">
        <v>45658</v>
      </c>
      <c r="C66" s="25" t="s">
        <v>27</v>
      </c>
      <c r="D66" s="25" t="s">
        <v>18</v>
      </c>
      <c r="E66" s="25">
        <v>70040.31</v>
      </c>
      <c r="F66" s="25">
        <v>9175</v>
      </c>
      <c r="G66" s="25">
        <v>0.107</v>
      </c>
      <c r="H66" s="25">
        <v>23</v>
      </c>
      <c r="I66" s="25">
        <v>95.1</v>
      </c>
      <c r="J66" s="25">
        <v>6.08</v>
      </c>
      <c r="K66" s="25">
        <v>1</v>
      </c>
      <c r="L66" s="25">
        <v>3.4</v>
      </c>
      <c r="M66" s="25">
        <v>784502.68</v>
      </c>
      <c r="N66" s="25">
        <v>129519.72</v>
      </c>
      <c r="O66" s="25">
        <f t="shared" si="0"/>
        <v>0</v>
      </c>
      <c r="P66" s="25">
        <f t="shared" si="1"/>
        <v>0</v>
      </c>
      <c r="Q66" s="25">
        <f t="shared" si="2"/>
        <v>1</v>
      </c>
      <c r="R66" s="25">
        <f t="shared" si="3"/>
        <v>1</v>
      </c>
      <c r="S66" s="25">
        <f t="shared" si="4"/>
        <v>0</v>
      </c>
      <c r="T66" s="25">
        <f t="shared" si="5"/>
        <v>0</v>
      </c>
    </row>
    <row r="67" spans="1:20">
      <c r="A67" s="25" t="s">
        <v>38</v>
      </c>
      <c r="B67" s="32">
        <v>45689</v>
      </c>
      <c r="C67" s="25" t="s">
        <v>27</v>
      </c>
      <c r="D67" s="25" t="s">
        <v>18</v>
      </c>
      <c r="E67" s="25">
        <v>51148.69</v>
      </c>
      <c r="F67" s="25">
        <v>7940</v>
      </c>
      <c r="G67" s="25">
        <v>0.156</v>
      </c>
      <c r="H67" s="25">
        <v>18</v>
      </c>
      <c r="I67" s="25">
        <v>93.3</v>
      </c>
      <c r="J67" s="25">
        <v>10.91</v>
      </c>
      <c r="K67" s="25">
        <v>0</v>
      </c>
      <c r="L67" s="25">
        <v>3.6</v>
      </c>
      <c r="M67" s="25">
        <v>717141.55</v>
      </c>
      <c r="N67" s="25">
        <v>134013.60999999999</v>
      </c>
      <c r="O67" s="25">
        <f t="shared" ref="O67:O130" si="6">IF(C67="North",1,0)</f>
        <v>0</v>
      </c>
      <c r="P67" s="25">
        <f t="shared" ref="P67:P130" si="7">IF(C67="South",1,0)</f>
        <v>0</v>
      </c>
      <c r="Q67" s="25">
        <f t="shared" ref="Q67:Q130" si="8">IF(C67="West",1,0)</f>
        <v>1</v>
      </c>
      <c r="R67" s="25">
        <f t="shared" ref="R67:R130" si="9">IF(D67="High Street",1,0)</f>
        <v>1</v>
      </c>
      <c r="S67" s="25">
        <f t="shared" ref="S67:S130" si="10">IF(D67="Mall",1,0)</f>
        <v>0</v>
      </c>
      <c r="T67" s="25">
        <f t="shared" ref="T67:T130" si="11">IF(D67="Residential",1,0)</f>
        <v>0</v>
      </c>
    </row>
    <row r="68" spans="1:20">
      <c r="A68" s="25" t="s">
        <v>38</v>
      </c>
      <c r="B68" s="32">
        <v>45717</v>
      </c>
      <c r="C68" s="25" t="s">
        <v>27</v>
      </c>
      <c r="D68" s="25" t="s">
        <v>18</v>
      </c>
      <c r="E68" s="25">
        <v>79346.100000000006</v>
      </c>
      <c r="F68" s="25">
        <v>9628</v>
      </c>
      <c r="G68" s="25">
        <v>0.10199999999999999</v>
      </c>
      <c r="H68" s="25">
        <v>20</v>
      </c>
      <c r="I68" s="25">
        <v>99</v>
      </c>
      <c r="J68" s="25">
        <v>19.010000000000002</v>
      </c>
      <c r="K68" s="25">
        <v>1</v>
      </c>
      <c r="L68" s="25">
        <v>3.2</v>
      </c>
      <c r="M68" s="25">
        <v>685379.08</v>
      </c>
      <c r="N68" s="25">
        <v>106898.82</v>
      </c>
      <c r="O68" s="25">
        <f t="shared" si="6"/>
        <v>0</v>
      </c>
      <c r="P68" s="25">
        <f t="shared" si="7"/>
        <v>0</v>
      </c>
      <c r="Q68" s="25">
        <f t="shared" si="8"/>
        <v>1</v>
      </c>
      <c r="R68" s="25">
        <f t="shared" si="9"/>
        <v>1</v>
      </c>
      <c r="S68" s="25">
        <f t="shared" si="10"/>
        <v>0</v>
      </c>
      <c r="T68" s="25">
        <f t="shared" si="11"/>
        <v>0</v>
      </c>
    </row>
    <row r="69" spans="1:20">
      <c r="A69" s="25" t="s">
        <v>38</v>
      </c>
      <c r="B69" s="32">
        <v>45748</v>
      </c>
      <c r="C69" s="25" t="s">
        <v>27</v>
      </c>
      <c r="D69" s="25" t="s">
        <v>18</v>
      </c>
      <c r="E69" s="25">
        <v>42018.400000000001</v>
      </c>
      <c r="F69" s="25">
        <v>8296</v>
      </c>
      <c r="G69" s="25">
        <v>0.115</v>
      </c>
      <c r="H69" s="25">
        <v>17</v>
      </c>
      <c r="I69" s="25">
        <v>91.8</v>
      </c>
      <c r="J69" s="25">
        <v>0.77</v>
      </c>
      <c r="K69" s="25">
        <v>0</v>
      </c>
      <c r="L69" s="25">
        <v>3.4</v>
      </c>
      <c r="M69" s="25">
        <v>740496.65</v>
      </c>
      <c r="N69" s="25">
        <v>128020.9</v>
      </c>
      <c r="O69" s="25">
        <f t="shared" si="6"/>
        <v>0</v>
      </c>
      <c r="P69" s="25">
        <f t="shared" si="7"/>
        <v>0</v>
      </c>
      <c r="Q69" s="25">
        <f t="shared" si="8"/>
        <v>1</v>
      </c>
      <c r="R69" s="25">
        <f t="shared" si="9"/>
        <v>1</v>
      </c>
      <c r="S69" s="25">
        <f t="shared" si="10"/>
        <v>0</v>
      </c>
      <c r="T69" s="25">
        <f t="shared" si="11"/>
        <v>0</v>
      </c>
    </row>
    <row r="70" spans="1:20">
      <c r="A70" s="25" t="s">
        <v>39</v>
      </c>
      <c r="B70" s="32">
        <v>45658</v>
      </c>
      <c r="C70" s="25" t="s">
        <v>15</v>
      </c>
      <c r="D70" s="25" t="s">
        <v>18</v>
      </c>
      <c r="E70" s="25">
        <v>70937.240000000005</v>
      </c>
      <c r="F70" s="25">
        <v>3595</v>
      </c>
      <c r="G70" s="25">
        <v>0.14099999999999999</v>
      </c>
      <c r="H70" s="25">
        <v>11</v>
      </c>
      <c r="I70" s="25">
        <v>88.9</v>
      </c>
      <c r="J70" s="25">
        <v>2.83</v>
      </c>
      <c r="K70" s="25">
        <v>1</v>
      </c>
      <c r="L70" s="25">
        <v>3.3</v>
      </c>
      <c r="M70" s="25">
        <v>661927.14</v>
      </c>
      <c r="N70" s="25">
        <v>79218.570000000007</v>
      </c>
      <c r="O70" s="25">
        <f t="shared" si="6"/>
        <v>0</v>
      </c>
      <c r="P70" s="25">
        <f t="shared" si="7"/>
        <v>0</v>
      </c>
      <c r="Q70" s="25">
        <f t="shared" si="8"/>
        <v>0</v>
      </c>
      <c r="R70" s="25">
        <f t="shared" si="9"/>
        <v>1</v>
      </c>
      <c r="S70" s="25">
        <f t="shared" si="10"/>
        <v>0</v>
      </c>
      <c r="T70" s="25">
        <f t="shared" si="11"/>
        <v>0</v>
      </c>
    </row>
    <row r="71" spans="1:20">
      <c r="A71" s="25" t="s">
        <v>39</v>
      </c>
      <c r="B71" s="32">
        <v>45689</v>
      </c>
      <c r="C71" s="25" t="s">
        <v>15</v>
      </c>
      <c r="D71" s="25" t="s">
        <v>18</v>
      </c>
      <c r="E71" s="25">
        <v>36813.449999999997</v>
      </c>
      <c r="F71" s="25">
        <v>2834</v>
      </c>
      <c r="G71" s="25">
        <v>0.191</v>
      </c>
      <c r="H71" s="25">
        <v>11</v>
      </c>
      <c r="I71" s="25">
        <v>81.8</v>
      </c>
      <c r="J71" s="25">
        <v>2.33</v>
      </c>
      <c r="K71" s="25">
        <v>0</v>
      </c>
      <c r="L71" s="25">
        <v>3.3</v>
      </c>
      <c r="M71" s="25">
        <v>479050.5</v>
      </c>
      <c r="N71" s="25">
        <v>53651.11</v>
      </c>
      <c r="O71" s="25">
        <f t="shared" si="6"/>
        <v>0</v>
      </c>
      <c r="P71" s="25">
        <f t="shared" si="7"/>
        <v>0</v>
      </c>
      <c r="Q71" s="25">
        <f t="shared" si="8"/>
        <v>0</v>
      </c>
      <c r="R71" s="25">
        <f t="shared" si="9"/>
        <v>1</v>
      </c>
      <c r="S71" s="25">
        <f t="shared" si="10"/>
        <v>0</v>
      </c>
      <c r="T71" s="25">
        <f t="shared" si="11"/>
        <v>0</v>
      </c>
    </row>
    <row r="72" spans="1:20">
      <c r="A72" s="25" t="s">
        <v>39</v>
      </c>
      <c r="B72" s="32">
        <v>45717</v>
      </c>
      <c r="C72" s="25" t="s">
        <v>15</v>
      </c>
      <c r="D72" s="25" t="s">
        <v>18</v>
      </c>
      <c r="E72" s="25">
        <v>60571.82</v>
      </c>
      <c r="F72" s="25">
        <v>3193</v>
      </c>
      <c r="G72" s="25">
        <v>0.19700000000000001</v>
      </c>
      <c r="H72" s="25">
        <v>7</v>
      </c>
      <c r="I72" s="25">
        <v>99</v>
      </c>
      <c r="J72" s="25">
        <v>1.43</v>
      </c>
      <c r="K72" s="25">
        <v>0</v>
      </c>
      <c r="L72" s="25">
        <v>3.2</v>
      </c>
      <c r="M72" s="25">
        <v>605023.87</v>
      </c>
      <c r="N72" s="25">
        <v>98545.81</v>
      </c>
      <c r="O72" s="25">
        <f t="shared" si="6"/>
        <v>0</v>
      </c>
      <c r="P72" s="25">
        <f t="shared" si="7"/>
        <v>0</v>
      </c>
      <c r="Q72" s="25">
        <f t="shared" si="8"/>
        <v>0</v>
      </c>
      <c r="R72" s="25">
        <f t="shared" si="9"/>
        <v>1</v>
      </c>
      <c r="S72" s="25">
        <f t="shared" si="10"/>
        <v>0</v>
      </c>
      <c r="T72" s="25">
        <f t="shared" si="11"/>
        <v>0</v>
      </c>
    </row>
    <row r="73" spans="1:20">
      <c r="A73" s="25" t="s">
        <v>39</v>
      </c>
      <c r="B73" s="32">
        <v>45748</v>
      </c>
      <c r="C73" s="25" t="s">
        <v>15</v>
      </c>
      <c r="D73" s="25" t="s">
        <v>18</v>
      </c>
      <c r="E73" s="25">
        <v>55081.16</v>
      </c>
      <c r="F73" s="25">
        <v>5485</v>
      </c>
      <c r="G73" s="25">
        <v>3.5999999999999997E-2</v>
      </c>
      <c r="H73" s="25">
        <v>12</v>
      </c>
      <c r="I73" s="25">
        <v>88</v>
      </c>
      <c r="J73" s="25">
        <v>4.5599999999999996</v>
      </c>
      <c r="K73" s="25">
        <v>0</v>
      </c>
      <c r="L73" s="25">
        <v>3.5</v>
      </c>
      <c r="M73" s="25">
        <v>674774.09</v>
      </c>
      <c r="N73" s="25">
        <v>141917.59</v>
      </c>
      <c r="O73" s="25">
        <f t="shared" si="6"/>
        <v>0</v>
      </c>
      <c r="P73" s="25">
        <f t="shared" si="7"/>
        <v>0</v>
      </c>
      <c r="Q73" s="25">
        <f t="shared" si="8"/>
        <v>0</v>
      </c>
      <c r="R73" s="25">
        <f t="shared" si="9"/>
        <v>1</v>
      </c>
      <c r="S73" s="25">
        <f t="shared" si="10"/>
        <v>0</v>
      </c>
      <c r="T73" s="25">
        <f t="shared" si="11"/>
        <v>0</v>
      </c>
    </row>
    <row r="74" spans="1:20">
      <c r="A74" s="25" t="s">
        <v>40</v>
      </c>
      <c r="B74" s="32">
        <v>45658</v>
      </c>
      <c r="C74" s="25" t="s">
        <v>15</v>
      </c>
      <c r="D74" s="25" t="s">
        <v>16</v>
      </c>
      <c r="E74" s="25">
        <v>46201.46</v>
      </c>
      <c r="F74" s="25">
        <v>5918</v>
      </c>
      <c r="G74" s="25">
        <v>0.27700000000000002</v>
      </c>
      <c r="H74" s="25">
        <v>13</v>
      </c>
      <c r="I74" s="25">
        <v>78.8</v>
      </c>
      <c r="J74" s="25">
        <v>4.91</v>
      </c>
      <c r="K74" s="25">
        <v>0</v>
      </c>
      <c r="L74" s="25">
        <v>4.5</v>
      </c>
      <c r="M74" s="25">
        <v>616069.41</v>
      </c>
      <c r="N74" s="25">
        <v>54453.99</v>
      </c>
      <c r="O74" s="25">
        <f t="shared" si="6"/>
        <v>0</v>
      </c>
      <c r="P74" s="25">
        <f t="shared" si="7"/>
        <v>0</v>
      </c>
      <c r="Q74" s="25">
        <f t="shared" si="8"/>
        <v>0</v>
      </c>
      <c r="R74" s="25">
        <f t="shared" si="9"/>
        <v>0</v>
      </c>
      <c r="S74" s="25">
        <f t="shared" si="10"/>
        <v>0</v>
      </c>
      <c r="T74" s="25">
        <f t="shared" si="11"/>
        <v>1</v>
      </c>
    </row>
    <row r="75" spans="1:20">
      <c r="A75" s="25" t="s">
        <v>40</v>
      </c>
      <c r="B75" s="32">
        <v>45689</v>
      </c>
      <c r="C75" s="25" t="s">
        <v>15</v>
      </c>
      <c r="D75" s="25" t="s">
        <v>16</v>
      </c>
      <c r="E75" s="25">
        <v>53762.92</v>
      </c>
      <c r="F75" s="25">
        <v>6821</v>
      </c>
      <c r="G75" s="25">
        <v>6.6000000000000003E-2</v>
      </c>
      <c r="H75" s="25">
        <v>19</v>
      </c>
      <c r="I75" s="25">
        <v>94.6</v>
      </c>
      <c r="J75" s="25">
        <v>7.03</v>
      </c>
      <c r="K75" s="25">
        <v>0</v>
      </c>
      <c r="L75" s="25">
        <v>4.4000000000000004</v>
      </c>
      <c r="M75" s="25">
        <v>630829.93999999994</v>
      </c>
      <c r="N75" s="25">
        <v>117090.02</v>
      </c>
      <c r="O75" s="25">
        <f t="shared" si="6"/>
        <v>0</v>
      </c>
      <c r="P75" s="25">
        <f t="shared" si="7"/>
        <v>0</v>
      </c>
      <c r="Q75" s="25">
        <f t="shared" si="8"/>
        <v>0</v>
      </c>
      <c r="R75" s="25">
        <f t="shared" si="9"/>
        <v>0</v>
      </c>
      <c r="S75" s="25">
        <f t="shared" si="10"/>
        <v>0</v>
      </c>
      <c r="T75" s="25">
        <f t="shared" si="11"/>
        <v>1</v>
      </c>
    </row>
    <row r="76" spans="1:20">
      <c r="A76" s="25" t="s">
        <v>40</v>
      </c>
      <c r="B76" s="32">
        <v>45717</v>
      </c>
      <c r="C76" s="25" t="s">
        <v>15</v>
      </c>
      <c r="D76" s="25" t="s">
        <v>16</v>
      </c>
      <c r="E76" s="25">
        <v>70144.78</v>
      </c>
      <c r="F76" s="25">
        <v>6806</v>
      </c>
      <c r="G76" s="25">
        <v>0.17799999999999999</v>
      </c>
      <c r="H76" s="25">
        <v>20</v>
      </c>
      <c r="I76" s="25">
        <v>93.1</v>
      </c>
      <c r="J76" s="25">
        <v>0.28000000000000003</v>
      </c>
      <c r="K76" s="25">
        <v>1</v>
      </c>
      <c r="L76" s="25">
        <v>4.3</v>
      </c>
      <c r="M76" s="25">
        <v>788087.68</v>
      </c>
      <c r="N76" s="25">
        <v>116803.42</v>
      </c>
      <c r="O76" s="25">
        <f t="shared" si="6"/>
        <v>0</v>
      </c>
      <c r="P76" s="25">
        <f t="shared" si="7"/>
        <v>0</v>
      </c>
      <c r="Q76" s="25">
        <f t="shared" si="8"/>
        <v>0</v>
      </c>
      <c r="R76" s="25">
        <f t="shared" si="9"/>
        <v>0</v>
      </c>
      <c r="S76" s="25">
        <f t="shared" si="10"/>
        <v>0</v>
      </c>
      <c r="T76" s="25">
        <f t="shared" si="11"/>
        <v>1</v>
      </c>
    </row>
    <row r="77" spans="1:20">
      <c r="A77" s="25" t="s">
        <v>40</v>
      </c>
      <c r="B77" s="32">
        <v>45748</v>
      </c>
      <c r="C77" s="25" t="s">
        <v>15</v>
      </c>
      <c r="D77" s="25" t="s">
        <v>16</v>
      </c>
      <c r="E77" s="25">
        <v>58749.63</v>
      </c>
      <c r="F77" s="25">
        <v>8252</v>
      </c>
      <c r="G77" s="25">
        <v>0.20300000000000001</v>
      </c>
      <c r="H77" s="25">
        <v>20</v>
      </c>
      <c r="I77" s="25">
        <v>85.2</v>
      </c>
      <c r="J77" s="25">
        <v>3.61</v>
      </c>
      <c r="K77" s="25">
        <v>0</v>
      </c>
      <c r="L77" s="25">
        <v>4.5</v>
      </c>
      <c r="M77" s="25">
        <v>680840.36</v>
      </c>
      <c r="N77" s="25">
        <v>68007.679999999993</v>
      </c>
      <c r="O77" s="25">
        <f t="shared" si="6"/>
        <v>0</v>
      </c>
      <c r="P77" s="25">
        <f t="shared" si="7"/>
        <v>0</v>
      </c>
      <c r="Q77" s="25">
        <f t="shared" si="8"/>
        <v>0</v>
      </c>
      <c r="R77" s="25">
        <f t="shared" si="9"/>
        <v>0</v>
      </c>
      <c r="S77" s="25">
        <f t="shared" si="10"/>
        <v>0</v>
      </c>
      <c r="T77" s="25">
        <f t="shared" si="11"/>
        <v>1</v>
      </c>
    </row>
    <row r="78" spans="1:20">
      <c r="A78" s="25" t="s">
        <v>41</v>
      </c>
      <c r="B78" s="32">
        <v>45658</v>
      </c>
      <c r="C78" s="25" t="s">
        <v>24</v>
      </c>
      <c r="D78" s="25" t="s">
        <v>18</v>
      </c>
      <c r="E78" s="25">
        <v>56973.18</v>
      </c>
      <c r="F78" s="25">
        <v>6662</v>
      </c>
      <c r="G78" s="25">
        <v>0.1</v>
      </c>
      <c r="H78" s="25">
        <v>15</v>
      </c>
      <c r="I78" s="25">
        <v>77.7</v>
      </c>
      <c r="J78" s="25">
        <v>7.52</v>
      </c>
      <c r="K78" s="25">
        <v>1</v>
      </c>
      <c r="L78" s="25">
        <v>3.2</v>
      </c>
      <c r="M78" s="25">
        <v>643657.47</v>
      </c>
      <c r="N78" s="25">
        <v>87022.45</v>
      </c>
      <c r="O78" s="25">
        <f t="shared" si="6"/>
        <v>0</v>
      </c>
      <c r="P78" s="25">
        <f t="shared" si="7"/>
        <v>1</v>
      </c>
      <c r="Q78" s="25">
        <f t="shared" si="8"/>
        <v>0</v>
      </c>
      <c r="R78" s="25">
        <f t="shared" si="9"/>
        <v>1</v>
      </c>
      <c r="S78" s="25">
        <f t="shared" si="10"/>
        <v>0</v>
      </c>
      <c r="T78" s="25">
        <f t="shared" si="11"/>
        <v>0</v>
      </c>
    </row>
    <row r="79" spans="1:20">
      <c r="A79" s="25" t="s">
        <v>41</v>
      </c>
      <c r="B79" s="32">
        <v>45689</v>
      </c>
      <c r="C79" s="25" t="s">
        <v>24</v>
      </c>
      <c r="D79" s="25" t="s">
        <v>18</v>
      </c>
      <c r="E79" s="25">
        <v>54872.82</v>
      </c>
      <c r="F79" s="25">
        <v>5962</v>
      </c>
      <c r="G79" s="25">
        <v>6.4000000000000001E-2</v>
      </c>
      <c r="H79" s="25">
        <v>12</v>
      </c>
      <c r="I79" s="25">
        <v>85.4</v>
      </c>
      <c r="J79" s="25">
        <v>2.58</v>
      </c>
      <c r="K79" s="25">
        <v>0</v>
      </c>
      <c r="L79" s="25">
        <v>2.9</v>
      </c>
      <c r="M79" s="25">
        <v>691112.6</v>
      </c>
      <c r="N79" s="25">
        <v>109212.83</v>
      </c>
      <c r="O79" s="25">
        <f t="shared" si="6"/>
        <v>0</v>
      </c>
      <c r="P79" s="25">
        <f t="shared" si="7"/>
        <v>1</v>
      </c>
      <c r="Q79" s="25">
        <f t="shared" si="8"/>
        <v>0</v>
      </c>
      <c r="R79" s="25">
        <f t="shared" si="9"/>
        <v>1</v>
      </c>
      <c r="S79" s="25">
        <f t="shared" si="10"/>
        <v>0</v>
      </c>
      <c r="T79" s="25">
        <f t="shared" si="11"/>
        <v>0</v>
      </c>
    </row>
    <row r="80" spans="1:20">
      <c r="A80" s="25" t="s">
        <v>41</v>
      </c>
      <c r="B80" s="32">
        <v>45717</v>
      </c>
      <c r="C80" s="25" t="s">
        <v>24</v>
      </c>
      <c r="D80" s="25" t="s">
        <v>18</v>
      </c>
      <c r="E80" s="25">
        <v>80562.81</v>
      </c>
      <c r="F80" s="25">
        <v>7470</v>
      </c>
      <c r="G80" s="25">
        <v>0.17199999999999999</v>
      </c>
      <c r="H80" s="25">
        <v>16</v>
      </c>
      <c r="I80" s="25">
        <v>83.5</v>
      </c>
      <c r="J80" s="25">
        <v>2.29</v>
      </c>
      <c r="K80" s="25">
        <v>0</v>
      </c>
      <c r="L80" s="25">
        <v>3.3</v>
      </c>
      <c r="M80" s="25">
        <v>776922.17</v>
      </c>
      <c r="N80" s="25">
        <v>150701.93</v>
      </c>
      <c r="O80" s="25">
        <f t="shared" si="6"/>
        <v>0</v>
      </c>
      <c r="P80" s="25">
        <f t="shared" si="7"/>
        <v>1</v>
      </c>
      <c r="Q80" s="25">
        <f t="shared" si="8"/>
        <v>0</v>
      </c>
      <c r="R80" s="25">
        <f t="shared" si="9"/>
        <v>1</v>
      </c>
      <c r="S80" s="25">
        <f t="shared" si="10"/>
        <v>0</v>
      </c>
      <c r="T80" s="25">
        <f t="shared" si="11"/>
        <v>0</v>
      </c>
    </row>
    <row r="81" spans="1:20">
      <c r="A81" s="25" t="s">
        <v>41</v>
      </c>
      <c r="B81" s="32">
        <v>45748</v>
      </c>
      <c r="C81" s="25" t="s">
        <v>24</v>
      </c>
      <c r="D81" s="25" t="s">
        <v>18</v>
      </c>
      <c r="E81" s="25">
        <v>77999.899999999994</v>
      </c>
      <c r="F81" s="25">
        <v>5974</v>
      </c>
      <c r="G81" s="25">
        <v>0.252</v>
      </c>
      <c r="H81" s="25">
        <v>14</v>
      </c>
      <c r="I81" s="25">
        <v>81.3</v>
      </c>
      <c r="J81" s="25">
        <v>2.39</v>
      </c>
      <c r="K81" s="25">
        <v>0</v>
      </c>
      <c r="L81" s="25">
        <v>3.2</v>
      </c>
      <c r="M81" s="25">
        <v>636561.34</v>
      </c>
      <c r="N81" s="25">
        <v>93861.06</v>
      </c>
      <c r="O81" s="25">
        <f t="shared" si="6"/>
        <v>0</v>
      </c>
      <c r="P81" s="25">
        <f t="shared" si="7"/>
        <v>1</v>
      </c>
      <c r="Q81" s="25">
        <f t="shared" si="8"/>
        <v>0</v>
      </c>
      <c r="R81" s="25">
        <f t="shared" si="9"/>
        <v>1</v>
      </c>
      <c r="S81" s="25">
        <f t="shared" si="10"/>
        <v>0</v>
      </c>
      <c r="T81" s="25">
        <f t="shared" si="11"/>
        <v>0</v>
      </c>
    </row>
    <row r="82" spans="1:20">
      <c r="A82" s="25" t="s">
        <v>42</v>
      </c>
      <c r="B82" s="32">
        <v>45658</v>
      </c>
      <c r="C82" s="25" t="s">
        <v>27</v>
      </c>
      <c r="D82" s="25" t="s">
        <v>28</v>
      </c>
      <c r="E82" s="25">
        <v>60881.01</v>
      </c>
      <c r="F82" s="25">
        <v>5410</v>
      </c>
      <c r="G82" s="25">
        <v>0.17899999999999999</v>
      </c>
      <c r="H82" s="25">
        <v>15</v>
      </c>
      <c r="I82" s="25">
        <v>83.9</v>
      </c>
      <c r="J82" s="25">
        <v>5.24</v>
      </c>
      <c r="K82" s="25">
        <v>0</v>
      </c>
      <c r="L82" s="25">
        <v>4.5999999999999996</v>
      </c>
      <c r="M82" s="25">
        <v>621369.57999999996</v>
      </c>
      <c r="N82" s="25">
        <v>85493.64</v>
      </c>
      <c r="O82" s="25">
        <f t="shared" si="6"/>
        <v>0</v>
      </c>
      <c r="P82" s="25">
        <f t="shared" si="7"/>
        <v>0</v>
      </c>
      <c r="Q82" s="25">
        <f t="shared" si="8"/>
        <v>1</v>
      </c>
      <c r="R82" s="25">
        <f t="shared" si="9"/>
        <v>0</v>
      </c>
      <c r="S82" s="25">
        <f t="shared" si="10"/>
        <v>1</v>
      </c>
      <c r="T82" s="25">
        <f t="shared" si="11"/>
        <v>0</v>
      </c>
    </row>
    <row r="83" spans="1:20">
      <c r="A83" s="25" t="s">
        <v>42</v>
      </c>
      <c r="B83" s="32">
        <v>45689</v>
      </c>
      <c r="C83" s="25" t="s">
        <v>27</v>
      </c>
      <c r="D83" s="25" t="s">
        <v>28</v>
      </c>
      <c r="E83" s="25">
        <v>60628.38</v>
      </c>
      <c r="F83" s="25">
        <v>4451</v>
      </c>
      <c r="G83" s="25">
        <v>9.5000000000000001E-2</v>
      </c>
      <c r="H83" s="25">
        <v>10</v>
      </c>
      <c r="I83" s="25">
        <v>89.6</v>
      </c>
      <c r="J83" s="25">
        <v>3.17</v>
      </c>
      <c r="K83" s="25">
        <v>0</v>
      </c>
      <c r="L83" s="25">
        <v>4.5999999999999996</v>
      </c>
      <c r="M83" s="25">
        <v>682208.01</v>
      </c>
      <c r="N83" s="25">
        <v>110318.84</v>
      </c>
      <c r="O83" s="25">
        <f t="shared" si="6"/>
        <v>0</v>
      </c>
      <c r="P83" s="25">
        <f t="shared" si="7"/>
        <v>0</v>
      </c>
      <c r="Q83" s="25">
        <f t="shared" si="8"/>
        <v>1</v>
      </c>
      <c r="R83" s="25">
        <f t="shared" si="9"/>
        <v>0</v>
      </c>
      <c r="S83" s="25">
        <f t="shared" si="10"/>
        <v>1</v>
      </c>
      <c r="T83" s="25">
        <f t="shared" si="11"/>
        <v>0</v>
      </c>
    </row>
    <row r="84" spans="1:20">
      <c r="A84" s="25" t="s">
        <v>42</v>
      </c>
      <c r="B84" s="32">
        <v>45717</v>
      </c>
      <c r="C84" s="25" t="s">
        <v>27</v>
      </c>
      <c r="D84" s="25" t="s">
        <v>28</v>
      </c>
      <c r="E84" s="25">
        <v>72731.14</v>
      </c>
      <c r="F84" s="25">
        <v>4644</v>
      </c>
      <c r="G84" s="25">
        <v>8.4000000000000005E-2</v>
      </c>
      <c r="H84" s="25">
        <v>15</v>
      </c>
      <c r="I84" s="25">
        <v>87.1</v>
      </c>
      <c r="J84" s="25">
        <v>2.66</v>
      </c>
      <c r="K84" s="25">
        <v>0</v>
      </c>
      <c r="L84" s="25">
        <v>4.5999999999999996</v>
      </c>
      <c r="M84" s="25">
        <v>727241.86</v>
      </c>
      <c r="N84" s="25">
        <v>155810.29999999999</v>
      </c>
      <c r="O84" s="25">
        <f t="shared" si="6"/>
        <v>0</v>
      </c>
      <c r="P84" s="25">
        <f t="shared" si="7"/>
        <v>0</v>
      </c>
      <c r="Q84" s="25">
        <f t="shared" si="8"/>
        <v>1</v>
      </c>
      <c r="R84" s="25">
        <f t="shared" si="9"/>
        <v>0</v>
      </c>
      <c r="S84" s="25">
        <f t="shared" si="10"/>
        <v>1</v>
      </c>
      <c r="T84" s="25">
        <f t="shared" si="11"/>
        <v>0</v>
      </c>
    </row>
    <row r="85" spans="1:20">
      <c r="A85" s="25" t="s">
        <v>42</v>
      </c>
      <c r="B85" s="32">
        <v>45748</v>
      </c>
      <c r="C85" s="25" t="s">
        <v>27</v>
      </c>
      <c r="D85" s="25" t="s">
        <v>28</v>
      </c>
      <c r="E85" s="25">
        <v>36475.71</v>
      </c>
      <c r="F85" s="25">
        <v>3559</v>
      </c>
      <c r="G85" s="25">
        <v>0.03</v>
      </c>
      <c r="H85" s="25">
        <v>8</v>
      </c>
      <c r="I85" s="25">
        <v>83.6</v>
      </c>
      <c r="J85" s="25">
        <v>1.41</v>
      </c>
      <c r="K85" s="25">
        <v>0</v>
      </c>
      <c r="L85" s="25">
        <v>4.2</v>
      </c>
      <c r="M85" s="25">
        <v>569100.78</v>
      </c>
      <c r="N85" s="25">
        <v>104808.78</v>
      </c>
      <c r="O85" s="25">
        <f t="shared" si="6"/>
        <v>0</v>
      </c>
      <c r="P85" s="25">
        <f t="shared" si="7"/>
        <v>0</v>
      </c>
      <c r="Q85" s="25">
        <f t="shared" si="8"/>
        <v>1</v>
      </c>
      <c r="R85" s="25">
        <f t="shared" si="9"/>
        <v>0</v>
      </c>
      <c r="S85" s="25">
        <f t="shared" si="10"/>
        <v>1</v>
      </c>
      <c r="T85" s="25">
        <f t="shared" si="11"/>
        <v>0</v>
      </c>
    </row>
    <row r="86" spans="1:20">
      <c r="A86" s="25" t="s">
        <v>43</v>
      </c>
      <c r="B86" s="32">
        <v>45658</v>
      </c>
      <c r="C86" s="25" t="s">
        <v>27</v>
      </c>
      <c r="D86" s="25" t="s">
        <v>18</v>
      </c>
      <c r="E86" s="25">
        <v>55388.11</v>
      </c>
      <c r="F86" s="25">
        <v>3091</v>
      </c>
      <c r="G86" s="25">
        <v>0.108</v>
      </c>
      <c r="H86" s="25">
        <v>7</v>
      </c>
      <c r="I86" s="25">
        <v>85.4</v>
      </c>
      <c r="J86" s="25">
        <v>7.34</v>
      </c>
      <c r="K86" s="25">
        <v>0</v>
      </c>
      <c r="L86" s="25">
        <v>4.9000000000000004</v>
      </c>
      <c r="M86" s="25">
        <v>574436.29</v>
      </c>
      <c r="N86" s="25">
        <v>80271.990000000005</v>
      </c>
      <c r="O86" s="25">
        <f t="shared" si="6"/>
        <v>0</v>
      </c>
      <c r="P86" s="25">
        <f t="shared" si="7"/>
        <v>0</v>
      </c>
      <c r="Q86" s="25">
        <f t="shared" si="8"/>
        <v>1</v>
      </c>
      <c r="R86" s="25">
        <f t="shared" si="9"/>
        <v>1</v>
      </c>
      <c r="S86" s="25">
        <f t="shared" si="10"/>
        <v>0</v>
      </c>
      <c r="T86" s="25">
        <f t="shared" si="11"/>
        <v>0</v>
      </c>
    </row>
    <row r="87" spans="1:20">
      <c r="A87" s="25" t="s">
        <v>43</v>
      </c>
      <c r="B87" s="32">
        <v>45689</v>
      </c>
      <c r="C87" s="25" t="s">
        <v>27</v>
      </c>
      <c r="D87" s="25" t="s">
        <v>18</v>
      </c>
      <c r="E87" s="25">
        <v>88443.77</v>
      </c>
      <c r="F87" s="25">
        <v>4004</v>
      </c>
      <c r="G87" s="25">
        <v>0.20599999999999999</v>
      </c>
      <c r="H87" s="25">
        <v>11</v>
      </c>
      <c r="I87" s="25">
        <v>91.9</v>
      </c>
      <c r="J87" s="25">
        <v>5.95</v>
      </c>
      <c r="K87" s="25">
        <v>0</v>
      </c>
      <c r="L87" s="25">
        <v>3.92</v>
      </c>
      <c r="M87" s="25">
        <v>611766.72</v>
      </c>
      <c r="N87" s="25">
        <v>88275.61</v>
      </c>
      <c r="O87" s="25">
        <f t="shared" si="6"/>
        <v>0</v>
      </c>
      <c r="P87" s="25">
        <f t="shared" si="7"/>
        <v>0</v>
      </c>
      <c r="Q87" s="25">
        <f t="shared" si="8"/>
        <v>1</v>
      </c>
      <c r="R87" s="25">
        <f t="shared" si="9"/>
        <v>1</v>
      </c>
      <c r="S87" s="25">
        <f t="shared" si="10"/>
        <v>0</v>
      </c>
      <c r="T87" s="25">
        <f t="shared" si="11"/>
        <v>0</v>
      </c>
    </row>
    <row r="88" spans="1:20">
      <c r="A88" s="25" t="s">
        <v>43</v>
      </c>
      <c r="B88" s="32">
        <v>45717</v>
      </c>
      <c r="C88" s="25" t="s">
        <v>27</v>
      </c>
      <c r="D88" s="25" t="s">
        <v>18</v>
      </c>
      <c r="E88" s="25">
        <v>78231.91</v>
      </c>
      <c r="F88" s="25">
        <v>3788</v>
      </c>
      <c r="G88" s="25">
        <v>5.8999999999999997E-2</v>
      </c>
      <c r="H88" s="25">
        <v>11</v>
      </c>
      <c r="I88" s="25">
        <v>88.5</v>
      </c>
      <c r="J88" s="25">
        <v>15.51</v>
      </c>
      <c r="K88" s="25">
        <v>0</v>
      </c>
      <c r="L88" s="25">
        <v>4.3</v>
      </c>
      <c r="M88" s="25">
        <v>614596.31999999995</v>
      </c>
      <c r="N88" s="25">
        <v>131199.41</v>
      </c>
      <c r="O88" s="25">
        <f t="shared" si="6"/>
        <v>0</v>
      </c>
      <c r="P88" s="25">
        <f t="shared" si="7"/>
        <v>0</v>
      </c>
      <c r="Q88" s="25">
        <f t="shared" si="8"/>
        <v>1</v>
      </c>
      <c r="R88" s="25">
        <f t="shared" si="9"/>
        <v>1</v>
      </c>
      <c r="S88" s="25">
        <f t="shared" si="10"/>
        <v>0</v>
      </c>
      <c r="T88" s="25">
        <f t="shared" si="11"/>
        <v>0</v>
      </c>
    </row>
    <row r="89" spans="1:20">
      <c r="A89" s="25" t="s">
        <v>43</v>
      </c>
      <c r="B89" s="32">
        <v>45748</v>
      </c>
      <c r="C89" s="25" t="s">
        <v>27</v>
      </c>
      <c r="D89" s="25" t="s">
        <v>18</v>
      </c>
      <c r="E89" s="25">
        <v>18996.32</v>
      </c>
      <c r="F89" s="25">
        <v>1260</v>
      </c>
      <c r="G89" s="25">
        <v>0.14499999999999999</v>
      </c>
      <c r="H89" s="25">
        <v>9</v>
      </c>
      <c r="I89" s="25">
        <v>86.4</v>
      </c>
      <c r="J89" s="25">
        <v>4.3099999999999996</v>
      </c>
      <c r="K89" s="25">
        <v>0</v>
      </c>
      <c r="L89" s="25">
        <v>4.5999999999999996</v>
      </c>
      <c r="M89" s="25">
        <v>450711.92</v>
      </c>
      <c r="N89" s="25">
        <v>90043.76</v>
      </c>
      <c r="O89" s="25">
        <f t="shared" si="6"/>
        <v>0</v>
      </c>
      <c r="P89" s="25">
        <f t="shared" si="7"/>
        <v>0</v>
      </c>
      <c r="Q89" s="25">
        <f t="shared" si="8"/>
        <v>1</v>
      </c>
      <c r="R89" s="25">
        <f t="shared" si="9"/>
        <v>1</v>
      </c>
      <c r="S89" s="25">
        <f t="shared" si="10"/>
        <v>0</v>
      </c>
      <c r="T89" s="25">
        <f t="shared" si="11"/>
        <v>0</v>
      </c>
    </row>
    <row r="90" spans="1:20">
      <c r="A90" s="25" t="s">
        <v>44</v>
      </c>
      <c r="B90" s="32">
        <v>45658</v>
      </c>
      <c r="C90" s="25" t="s">
        <v>24</v>
      </c>
      <c r="D90" s="25" t="s">
        <v>28</v>
      </c>
      <c r="E90" s="25">
        <v>50517.94</v>
      </c>
      <c r="F90" s="25">
        <v>7024</v>
      </c>
      <c r="G90" s="25">
        <v>2.9000000000000001E-2</v>
      </c>
      <c r="H90" s="25">
        <v>18</v>
      </c>
      <c r="I90" s="25">
        <v>79.2</v>
      </c>
      <c r="J90" s="25">
        <v>6.61</v>
      </c>
      <c r="K90" s="25">
        <v>1</v>
      </c>
      <c r="L90" s="25">
        <v>4.0999999999999996</v>
      </c>
      <c r="M90" s="25">
        <v>711213.46</v>
      </c>
      <c r="N90" s="25">
        <v>105863.26</v>
      </c>
      <c r="O90" s="25">
        <f t="shared" si="6"/>
        <v>0</v>
      </c>
      <c r="P90" s="25">
        <f t="shared" si="7"/>
        <v>1</v>
      </c>
      <c r="Q90" s="25">
        <f t="shared" si="8"/>
        <v>0</v>
      </c>
      <c r="R90" s="25">
        <f t="shared" si="9"/>
        <v>0</v>
      </c>
      <c r="S90" s="25">
        <f t="shared" si="10"/>
        <v>1</v>
      </c>
      <c r="T90" s="25">
        <f t="shared" si="11"/>
        <v>0</v>
      </c>
    </row>
    <row r="91" spans="1:20">
      <c r="A91" s="25" t="s">
        <v>44</v>
      </c>
      <c r="B91" s="32">
        <v>45689</v>
      </c>
      <c r="C91" s="25" t="s">
        <v>24</v>
      </c>
      <c r="D91" s="25" t="s">
        <v>28</v>
      </c>
      <c r="E91" s="25">
        <v>141540.29</v>
      </c>
      <c r="F91" s="25">
        <v>5400</v>
      </c>
      <c r="G91" s="25">
        <v>1.2999999999999999E-2</v>
      </c>
      <c r="H91" s="25">
        <v>12</v>
      </c>
      <c r="I91" s="25">
        <v>87</v>
      </c>
      <c r="J91" s="25">
        <v>4.26</v>
      </c>
      <c r="K91" s="25">
        <v>0</v>
      </c>
      <c r="L91" s="25">
        <v>4.5</v>
      </c>
      <c r="M91" s="25">
        <v>627171.9</v>
      </c>
      <c r="N91" s="25">
        <v>105772.75</v>
      </c>
      <c r="O91" s="25">
        <f t="shared" si="6"/>
        <v>0</v>
      </c>
      <c r="P91" s="25">
        <f t="shared" si="7"/>
        <v>1</v>
      </c>
      <c r="Q91" s="25">
        <f t="shared" si="8"/>
        <v>0</v>
      </c>
      <c r="R91" s="25">
        <f t="shared" si="9"/>
        <v>0</v>
      </c>
      <c r="S91" s="25">
        <f t="shared" si="10"/>
        <v>1</v>
      </c>
      <c r="T91" s="25">
        <f t="shared" si="11"/>
        <v>0</v>
      </c>
    </row>
    <row r="92" spans="1:20">
      <c r="A92" s="25" t="s">
        <v>44</v>
      </c>
      <c r="B92" s="32">
        <v>45717</v>
      </c>
      <c r="C92" s="25" t="s">
        <v>24</v>
      </c>
      <c r="D92" s="25" t="s">
        <v>28</v>
      </c>
      <c r="E92" s="25">
        <v>82116.19</v>
      </c>
      <c r="F92" s="25">
        <v>5988</v>
      </c>
      <c r="G92" s="25">
        <v>0.04</v>
      </c>
      <c r="H92" s="25">
        <v>17</v>
      </c>
      <c r="I92" s="25">
        <v>91.8</v>
      </c>
      <c r="J92" s="25">
        <v>5.75</v>
      </c>
      <c r="K92" s="25">
        <v>0</v>
      </c>
      <c r="L92" s="25">
        <v>4.7</v>
      </c>
      <c r="M92" s="25">
        <v>739852.58</v>
      </c>
      <c r="N92" s="25">
        <v>129386.43</v>
      </c>
      <c r="O92" s="25">
        <f t="shared" si="6"/>
        <v>0</v>
      </c>
      <c r="P92" s="25">
        <f t="shared" si="7"/>
        <v>1</v>
      </c>
      <c r="Q92" s="25">
        <f t="shared" si="8"/>
        <v>0</v>
      </c>
      <c r="R92" s="25">
        <f t="shared" si="9"/>
        <v>0</v>
      </c>
      <c r="S92" s="25">
        <f t="shared" si="10"/>
        <v>1</v>
      </c>
      <c r="T92" s="25">
        <f t="shared" si="11"/>
        <v>0</v>
      </c>
    </row>
    <row r="93" spans="1:20">
      <c r="A93" s="25" t="s">
        <v>44</v>
      </c>
      <c r="B93" s="32">
        <v>45748</v>
      </c>
      <c r="C93" s="25" t="s">
        <v>24</v>
      </c>
      <c r="D93" s="25" t="s">
        <v>28</v>
      </c>
      <c r="E93" s="25">
        <v>31207.51</v>
      </c>
      <c r="F93" s="25">
        <v>3701</v>
      </c>
      <c r="G93" s="25">
        <v>4.2999999999999997E-2</v>
      </c>
      <c r="H93" s="25">
        <v>11</v>
      </c>
      <c r="I93" s="25">
        <v>84.7</v>
      </c>
      <c r="J93" s="25">
        <v>0.33</v>
      </c>
      <c r="K93" s="25">
        <v>0</v>
      </c>
      <c r="L93" s="25">
        <v>4.3</v>
      </c>
      <c r="M93" s="25">
        <v>586307.22</v>
      </c>
      <c r="N93" s="25">
        <v>73927.850000000006</v>
      </c>
      <c r="O93" s="25">
        <f t="shared" si="6"/>
        <v>0</v>
      </c>
      <c r="P93" s="25">
        <f t="shared" si="7"/>
        <v>1</v>
      </c>
      <c r="Q93" s="25">
        <f t="shared" si="8"/>
        <v>0</v>
      </c>
      <c r="R93" s="25">
        <f t="shared" si="9"/>
        <v>0</v>
      </c>
      <c r="S93" s="25">
        <f t="shared" si="10"/>
        <v>1</v>
      </c>
      <c r="T93" s="25">
        <f t="shared" si="11"/>
        <v>0</v>
      </c>
    </row>
    <row r="94" spans="1:20">
      <c r="A94" s="25" t="s">
        <v>45</v>
      </c>
      <c r="B94" s="32">
        <v>45658</v>
      </c>
      <c r="C94" s="25" t="s">
        <v>27</v>
      </c>
      <c r="D94" s="25" t="s">
        <v>16</v>
      </c>
      <c r="E94" s="25">
        <v>38966.589999999997</v>
      </c>
      <c r="F94" s="25">
        <v>4509</v>
      </c>
      <c r="G94" s="25">
        <v>0.19400000000000001</v>
      </c>
      <c r="H94" s="25">
        <v>14</v>
      </c>
      <c r="I94" s="25">
        <v>91.1</v>
      </c>
      <c r="J94" s="25">
        <v>2.92</v>
      </c>
      <c r="K94" s="25">
        <v>0</v>
      </c>
      <c r="L94" s="25">
        <v>4.5999999999999996</v>
      </c>
      <c r="M94" s="25">
        <v>585937.48</v>
      </c>
      <c r="N94" s="25">
        <v>82624.2</v>
      </c>
      <c r="O94" s="25">
        <f t="shared" si="6"/>
        <v>0</v>
      </c>
      <c r="P94" s="25">
        <f t="shared" si="7"/>
        <v>0</v>
      </c>
      <c r="Q94" s="25">
        <f t="shared" si="8"/>
        <v>1</v>
      </c>
      <c r="R94" s="25">
        <f t="shared" si="9"/>
        <v>0</v>
      </c>
      <c r="S94" s="25">
        <f t="shared" si="10"/>
        <v>0</v>
      </c>
      <c r="T94" s="25">
        <f t="shared" si="11"/>
        <v>1</v>
      </c>
    </row>
    <row r="95" spans="1:20">
      <c r="A95" s="25" t="s">
        <v>45</v>
      </c>
      <c r="B95" s="32">
        <v>45689</v>
      </c>
      <c r="C95" s="25" t="s">
        <v>27</v>
      </c>
      <c r="D95" s="25" t="s">
        <v>16</v>
      </c>
      <c r="E95" s="25">
        <v>67439.3</v>
      </c>
      <c r="F95" s="25">
        <v>6477</v>
      </c>
      <c r="G95" s="25">
        <v>0</v>
      </c>
      <c r="H95" s="25">
        <v>16</v>
      </c>
      <c r="I95" s="25">
        <v>90.9</v>
      </c>
      <c r="J95" s="25">
        <v>1.64</v>
      </c>
      <c r="K95" s="25">
        <v>0</v>
      </c>
      <c r="L95" s="25">
        <v>4.5</v>
      </c>
      <c r="M95" s="25">
        <v>753473.55</v>
      </c>
      <c r="N95" s="25">
        <v>151527.22</v>
      </c>
      <c r="O95" s="25">
        <f t="shared" si="6"/>
        <v>0</v>
      </c>
      <c r="P95" s="25">
        <f t="shared" si="7"/>
        <v>0</v>
      </c>
      <c r="Q95" s="25">
        <f t="shared" si="8"/>
        <v>1</v>
      </c>
      <c r="R95" s="25">
        <f t="shared" si="9"/>
        <v>0</v>
      </c>
      <c r="S95" s="25">
        <f t="shared" si="10"/>
        <v>0</v>
      </c>
      <c r="T95" s="25">
        <f t="shared" si="11"/>
        <v>1</v>
      </c>
    </row>
    <row r="96" spans="1:20">
      <c r="A96" s="25" t="s">
        <v>45</v>
      </c>
      <c r="B96" s="32">
        <v>45717</v>
      </c>
      <c r="C96" s="25" t="s">
        <v>27</v>
      </c>
      <c r="D96" s="25" t="s">
        <v>16</v>
      </c>
      <c r="E96" s="25">
        <v>86421.88</v>
      </c>
      <c r="F96" s="25">
        <v>7970</v>
      </c>
      <c r="G96" s="25">
        <v>7.2999999999999995E-2</v>
      </c>
      <c r="H96" s="25">
        <v>17</v>
      </c>
      <c r="I96" s="25">
        <v>91.3</v>
      </c>
      <c r="J96" s="25">
        <v>0.8</v>
      </c>
      <c r="K96" s="25">
        <v>0</v>
      </c>
      <c r="L96" s="25">
        <v>5</v>
      </c>
      <c r="M96" s="25">
        <v>838250.32</v>
      </c>
      <c r="N96" s="25">
        <v>122939.34</v>
      </c>
      <c r="O96" s="25">
        <f t="shared" si="6"/>
        <v>0</v>
      </c>
      <c r="P96" s="25">
        <f t="shared" si="7"/>
        <v>0</v>
      </c>
      <c r="Q96" s="25">
        <f t="shared" si="8"/>
        <v>1</v>
      </c>
      <c r="R96" s="25">
        <f t="shared" si="9"/>
        <v>0</v>
      </c>
      <c r="S96" s="25">
        <f t="shared" si="10"/>
        <v>0</v>
      </c>
      <c r="T96" s="25">
        <f t="shared" si="11"/>
        <v>1</v>
      </c>
    </row>
    <row r="97" spans="1:20">
      <c r="A97" s="25" t="s">
        <v>45</v>
      </c>
      <c r="B97" s="32">
        <v>45748</v>
      </c>
      <c r="C97" s="25" t="s">
        <v>27</v>
      </c>
      <c r="D97" s="25" t="s">
        <v>16</v>
      </c>
      <c r="E97" s="25">
        <v>9534.65</v>
      </c>
      <c r="F97" s="25">
        <v>6057</v>
      </c>
      <c r="G97" s="25">
        <v>7.3999999999999996E-2</v>
      </c>
      <c r="H97" s="25">
        <v>15</v>
      </c>
      <c r="I97" s="25">
        <v>94.1</v>
      </c>
      <c r="J97" s="25">
        <v>5.79</v>
      </c>
      <c r="K97" s="25">
        <v>0</v>
      </c>
      <c r="L97" s="25">
        <v>4.5</v>
      </c>
      <c r="M97" s="25">
        <v>607898.12</v>
      </c>
      <c r="N97" s="25">
        <v>135404.85</v>
      </c>
      <c r="O97" s="25">
        <f t="shared" si="6"/>
        <v>0</v>
      </c>
      <c r="P97" s="25">
        <f t="shared" si="7"/>
        <v>0</v>
      </c>
      <c r="Q97" s="25">
        <f t="shared" si="8"/>
        <v>1</v>
      </c>
      <c r="R97" s="25">
        <f t="shared" si="9"/>
        <v>0</v>
      </c>
      <c r="S97" s="25">
        <f t="shared" si="10"/>
        <v>0</v>
      </c>
      <c r="T97" s="25">
        <f t="shared" si="11"/>
        <v>1</v>
      </c>
    </row>
    <row r="98" spans="1:20">
      <c r="A98" s="25" t="s">
        <v>46</v>
      </c>
      <c r="B98" s="32">
        <v>45658</v>
      </c>
      <c r="C98" s="25" t="s">
        <v>27</v>
      </c>
      <c r="D98" s="25" t="s">
        <v>28</v>
      </c>
      <c r="E98" s="25">
        <v>61132.07</v>
      </c>
      <c r="F98" s="25">
        <v>6394</v>
      </c>
      <c r="G98" s="25">
        <v>0.16300000000000001</v>
      </c>
      <c r="H98" s="25">
        <v>19</v>
      </c>
      <c r="I98" s="25">
        <v>91</v>
      </c>
      <c r="J98" s="25">
        <v>19.600000000000001</v>
      </c>
      <c r="K98" s="25">
        <v>0</v>
      </c>
      <c r="L98" s="25">
        <v>4.4000000000000004</v>
      </c>
      <c r="M98" s="25">
        <v>691113.62</v>
      </c>
      <c r="N98" s="25">
        <v>135145.44</v>
      </c>
      <c r="O98" s="25">
        <f t="shared" si="6"/>
        <v>0</v>
      </c>
      <c r="P98" s="25">
        <f t="shared" si="7"/>
        <v>0</v>
      </c>
      <c r="Q98" s="25">
        <f t="shared" si="8"/>
        <v>1</v>
      </c>
      <c r="R98" s="25">
        <f t="shared" si="9"/>
        <v>0</v>
      </c>
      <c r="S98" s="25">
        <f t="shared" si="10"/>
        <v>1</v>
      </c>
      <c r="T98" s="25">
        <f t="shared" si="11"/>
        <v>0</v>
      </c>
    </row>
    <row r="99" spans="1:20">
      <c r="A99" s="25" t="s">
        <v>46</v>
      </c>
      <c r="B99" s="32">
        <v>45689</v>
      </c>
      <c r="C99" s="25" t="s">
        <v>27</v>
      </c>
      <c r="D99" s="25" t="s">
        <v>28</v>
      </c>
      <c r="E99" s="25">
        <v>78839.39</v>
      </c>
      <c r="F99" s="25">
        <v>5150</v>
      </c>
      <c r="G99" s="25">
        <v>0.17100000000000001</v>
      </c>
      <c r="H99" s="25">
        <v>13</v>
      </c>
      <c r="I99" s="25">
        <v>85.8</v>
      </c>
      <c r="J99" s="25">
        <v>7.57</v>
      </c>
      <c r="K99" s="25">
        <v>0</v>
      </c>
      <c r="L99" s="25">
        <v>4.3</v>
      </c>
      <c r="M99" s="25">
        <v>735509.4</v>
      </c>
      <c r="N99" s="25">
        <v>83895.96</v>
      </c>
      <c r="O99" s="25">
        <f t="shared" si="6"/>
        <v>0</v>
      </c>
      <c r="P99" s="25">
        <f t="shared" si="7"/>
        <v>0</v>
      </c>
      <c r="Q99" s="25">
        <f t="shared" si="8"/>
        <v>1</v>
      </c>
      <c r="R99" s="25">
        <f t="shared" si="9"/>
        <v>0</v>
      </c>
      <c r="S99" s="25">
        <f t="shared" si="10"/>
        <v>1</v>
      </c>
      <c r="T99" s="25">
        <f t="shared" si="11"/>
        <v>0</v>
      </c>
    </row>
    <row r="100" spans="1:20">
      <c r="A100" s="25" t="s">
        <v>46</v>
      </c>
      <c r="B100" s="32">
        <v>45717</v>
      </c>
      <c r="C100" s="25" t="s">
        <v>27</v>
      </c>
      <c r="D100" s="25" t="s">
        <v>28</v>
      </c>
      <c r="E100" s="25">
        <v>38752.800000000003</v>
      </c>
      <c r="F100" s="25">
        <v>4712</v>
      </c>
      <c r="G100" s="25">
        <v>7.4999999999999997E-2</v>
      </c>
      <c r="H100" s="25">
        <v>15</v>
      </c>
      <c r="I100" s="25">
        <v>89.7</v>
      </c>
      <c r="J100" s="25">
        <v>4.5599999999999996</v>
      </c>
      <c r="K100" s="25">
        <v>0</v>
      </c>
      <c r="L100" s="25">
        <v>4.3</v>
      </c>
      <c r="M100" s="25">
        <v>605775.32999999996</v>
      </c>
      <c r="N100" s="25">
        <v>107194.6</v>
      </c>
      <c r="O100" s="25">
        <f t="shared" si="6"/>
        <v>0</v>
      </c>
      <c r="P100" s="25">
        <f t="shared" si="7"/>
        <v>0</v>
      </c>
      <c r="Q100" s="25">
        <f t="shared" si="8"/>
        <v>1</v>
      </c>
      <c r="R100" s="25">
        <f t="shared" si="9"/>
        <v>0</v>
      </c>
      <c r="S100" s="25">
        <f t="shared" si="10"/>
        <v>1</v>
      </c>
      <c r="T100" s="25">
        <f t="shared" si="11"/>
        <v>0</v>
      </c>
    </row>
    <row r="101" spans="1:20">
      <c r="A101" s="25" t="s">
        <v>46</v>
      </c>
      <c r="B101" s="32">
        <v>45748</v>
      </c>
      <c r="C101" s="25" t="s">
        <v>27</v>
      </c>
      <c r="D101" s="25" t="s">
        <v>28</v>
      </c>
      <c r="E101" s="25">
        <v>55101.1</v>
      </c>
      <c r="F101" s="25">
        <v>5281</v>
      </c>
      <c r="G101" s="25">
        <v>0.189</v>
      </c>
      <c r="H101" s="25">
        <v>11</v>
      </c>
      <c r="I101" s="25">
        <v>91</v>
      </c>
      <c r="J101" s="25">
        <v>2.7</v>
      </c>
      <c r="K101" s="25">
        <v>0</v>
      </c>
      <c r="L101" s="25">
        <v>4.4000000000000004</v>
      </c>
      <c r="M101" s="25">
        <v>675177.68</v>
      </c>
      <c r="N101" s="25">
        <v>105628.68</v>
      </c>
      <c r="O101" s="25">
        <f t="shared" si="6"/>
        <v>0</v>
      </c>
      <c r="P101" s="25">
        <f t="shared" si="7"/>
        <v>0</v>
      </c>
      <c r="Q101" s="25">
        <f t="shared" si="8"/>
        <v>1</v>
      </c>
      <c r="R101" s="25">
        <f t="shared" si="9"/>
        <v>0</v>
      </c>
      <c r="S101" s="25">
        <f t="shared" si="10"/>
        <v>1</v>
      </c>
      <c r="T101" s="25">
        <f t="shared" si="11"/>
        <v>0</v>
      </c>
    </row>
    <row r="102" spans="1:20">
      <c r="A102" s="25" t="s">
        <v>47</v>
      </c>
      <c r="B102" s="32">
        <v>45658</v>
      </c>
      <c r="C102" s="25" t="s">
        <v>15</v>
      </c>
      <c r="D102" s="25" t="s">
        <v>28</v>
      </c>
      <c r="E102" s="25">
        <v>53084.76</v>
      </c>
      <c r="F102" s="25">
        <v>3642</v>
      </c>
      <c r="G102" s="25">
        <v>0.15</v>
      </c>
      <c r="H102" s="25">
        <v>12</v>
      </c>
      <c r="I102" s="25">
        <v>91.4</v>
      </c>
      <c r="J102" s="25">
        <v>0.2</v>
      </c>
      <c r="K102" s="25">
        <v>0</v>
      </c>
      <c r="L102" s="25">
        <v>4.4000000000000004</v>
      </c>
      <c r="M102" s="25">
        <v>635181.35</v>
      </c>
      <c r="N102" s="25">
        <v>83341.25</v>
      </c>
      <c r="O102" s="25">
        <f t="shared" si="6"/>
        <v>0</v>
      </c>
      <c r="P102" s="25">
        <f t="shared" si="7"/>
        <v>0</v>
      </c>
      <c r="Q102" s="25">
        <f t="shared" si="8"/>
        <v>0</v>
      </c>
      <c r="R102" s="25">
        <f t="shared" si="9"/>
        <v>0</v>
      </c>
      <c r="S102" s="25">
        <f t="shared" si="10"/>
        <v>1</v>
      </c>
      <c r="T102" s="25">
        <f t="shared" si="11"/>
        <v>0</v>
      </c>
    </row>
    <row r="103" spans="1:20">
      <c r="A103" s="25" t="s">
        <v>47</v>
      </c>
      <c r="B103" s="32">
        <v>45689</v>
      </c>
      <c r="C103" s="25" t="s">
        <v>15</v>
      </c>
      <c r="D103" s="25" t="s">
        <v>28</v>
      </c>
      <c r="E103" s="25">
        <v>63101.59</v>
      </c>
      <c r="F103" s="25">
        <v>4373</v>
      </c>
      <c r="G103" s="25">
        <v>0.17299999999999999</v>
      </c>
      <c r="H103" s="25">
        <v>14</v>
      </c>
      <c r="I103" s="25">
        <v>90.4</v>
      </c>
      <c r="J103" s="25">
        <v>7.87</v>
      </c>
      <c r="K103" s="25">
        <v>0</v>
      </c>
      <c r="L103" s="25">
        <v>4.7</v>
      </c>
      <c r="M103" s="25">
        <v>586626.93999999994</v>
      </c>
      <c r="N103" s="25">
        <v>86498.55</v>
      </c>
      <c r="O103" s="25">
        <f t="shared" si="6"/>
        <v>0</v>
      </c>
      <c r="P103" s="25">
        <f t="shared" si="7"/>
        <v>0</v>
      </c>
      <c r="Q103" s="25">
        <f t="shared" si="8"/>
        <v>0</v>
      </c>
      <c r="R103" s="25">
        <f t="shared" si="9"/>
        <v>0</v>
      </c>
      <c r="S103" s="25">
        <f t="shared" si="10"/>
        <v>1</v>
      </c>
      <c r="T103" s="25">
        <f t="shared" si="11"/>
        <v>0</v>
      </c>
    </row>
    <row r="104" spans="1:20">
      <c r="A104" s="25" t="s">
        <v>47</v>
      </c>
      <c r="B104" s="32">
        <v>45717</v>
      </c>
      <c r="C104" s="25" t="s">
        <v>15</v>
      </c>
      <c r="D104" s="25" t="s">
        <v>28</v>
      </c>
      <c r="E104" s="25">
        <v>90084.4</v>
      </c>
      <c r="F104" s="25">
        <v>6832</v>
      </c>
      <c r="G104" s="25">
        <v>0.185</v>
      </c>
      <c r="H104" s="25">
        <v>14</v>
      </c>
      <c r="I104" s="25">
        <v>80.5</v>
      </c>
      <c r="J104" s="25">
        <v>0.77</v>
      </c>
      <c r="K104" s="25">
        <v>1</v>
      </c>
      <c r="L104" s="25">
        <v>4.4000000000000004</v>
      </c>
      <c r="M104" s="25">
        <v>740102.64</v>
      </c>
      <c r="N104" s="25">
        <v>114299.07</v>
      </c>
      <c r="O104" s="25">
        <f t="shared" si="6"/>
        <v>0</v>
      </c>
      <c r="P104" s="25">
        <f t="shared" si="7"/>
        <v>0</v>
      </c>
      <c r="Q104" s="25">
        <f t="shared" si="8"/>
        <v>0</v>
      </c>
      <c r="R104" s="25">
        <f t="shared" si="9"/>
        <v>0</v>
      </c>
      <c r="S104" s="25">
        <f t="shared" si="10"/>
        <v>1</v>
      </c>
      <c r="T104" s="25">
        <f t="shared" si="11"/>
        <v>0</v>
      </c>
    </row>
    <row r="105" spans="1:20">
      <c r="A105" s="25" t="s">
        <v>47</v>
      </c>
      <c r="B105" s="32">
        <v>45748</v>
      </c>
      <c r="C105" s="25" t="s">
        <v>15</v>
      </c>
      <c r="D105" s="25" t="s">
        <v>28</v>
      </c>
      <c r="E105" s="25">
        <v>32266.639999999999</v>
      </c>
      <c r="F105" s="25">
        <v>2414</v>
      </c>
      <c r="G105" s="25">
        <v>0.08</v>
      </c>
      <c r="H105" s="25">
        <v>7</v>
      </c>
      <c r="I105" s="25">
        <v>92.1</v>
      </c>
      <c r="J105" s="25">
        <v>1.48</v>
      </c>
      <c r="K105" s="25">
        <v>0</v>
      </c>
      <c r="L105" s="25">
        <v>5</v>
      </c>
      <c r="M105" s="25">
        <v>625514.04</v>
      </c>
      <c r="N105" s="25">
        <v>120685.08</v>
      </c>
      <c r="O105" s="25">
        <f t="shared" si="6"/>
        <v>0</v>
      </c>
      <c r="P105" s="25">
        <f t="shared" si="7"/>
        <v>0</v>
      </c>
      <c r="Q105" s="25">
        <f t="shared" si="8"/>
        <v>0</v>
      </c>
      <c r="R105" s="25">
        <f t="shared" si="9"/>
        <v>0</v>
      </c>
      <c r="S105" s="25">
        <f t="shared" si="10"/>
        <v>1</v>
      </c>
      <c r="T105" s="25">
        <f t="shared" si="11"/>
        <v>0</v>
      </c>
    </row>
    <row r="106" spans="1:20">
      <c r="A106" s="25" t="s">
        <v>48</v>
      </c>
      <c r="B106" s="32">
        <v>45658</v>
      </c>
      <c r="C106" s="25" t="s">
        <v>27</v>
      </c>
      <c r="D106" s="25" t="s">
        <v>18</v>
      </c>
      <c r="E106" s="25">
        <v>57919.07</v>
      </c>
      <c r="F106" s="25">
        <v>7374</v>
      </c>
      <c r="G106" s="25">
        <v>0.10299999999999999</v>
      </c>
      <c r="H106" s="25">
        <v>21</v>
      </c>
      <c r="I106" s="25">
        <v>82.3</v>
      </c>
      <c r="J106" s="25">
        <v>2.87</v>
      </c>
      <c r="K106" s="25">
        <v>0</v>
      </c>
      <c r="L106" s="25">
        <v>2.9</v>
      </c>
      <c r="M106" s="25">
        <v>727227.2</v>
      </c>
      <c r="N106" s="25">
        <v>121292.01</v>
      </c>
      <c r="O106" s="25">
        <f t="shared" si="6"/>
        <v>0</v>
      </c>
      <c r="P106" s="25">
        <f t="shared" si="7"/>
        <v>0</v>
      </c>
      <c r="Q106" s="25">
        <f t="shared" si="8"/>
        <v>1</v>
      </c>
      <c r="R106" s="25">
        <f t="shared" si="9"/>
        <v>1</v>
      </c>
      <c r="S106" s="25">
        <f t="shared" si="10"/>
        <v>0</v>
      </c>
      <c r="T106" s="25">
        <f t="shared" si="11"/>
        <v>0</v>
      </c>
    </row>
    <row r="107" spans="1:20">
      <c r="A107" s="25" t="s">
        <v>48</v>
      </c>
      <c r="B107" s="32">
        <v>45689</v>
      </c>
      <c r="C107" s="25" t="s">
        <v>27</v>
      </c>
      <c r="D107" s="25" t="s">
        <v>18</v>
      </c>
      <c r="E107" s="25">
        <v>74679.350000000006</v>
      </c>
      <c r="F107" s="25">
        <v>8739</v>
      </c>
      <c r="G107" s="25">
        <v>5.6000000000000001E-2</v>
      </c>
      <c r="H107" s="25">
        <v>21</v>
      </c>
      <c r="I107" s="25">
        <v>91.8</v>
      </c>
      <c r="J107" s="25">
        <v>2.83</v>
      </c>
      <c r="K107" s="25">
        <v>0</v>
      </c>
      <c r="L107" s="25">
        <v>3</v>
      </c>
      <c r="M107" s="25">
        <v>783797.89</v>
      </c>
      <c r="N107" s="25">
        <v>157620.70000000001</v>
      </c>
      <c r="O107" s="25">
        <f t="shared" si="6"/>
        <v>0</v>
      </c>
      <c r="P107" s="25">
        <f t="shared" si="7"/>
        <v>0</v>
      </c>
      <c r="Q107" s="25">
        <f t="shared" si="8"/>
        <v>1</v>
      </c>
      <c r="R107" s="25">
        <f t="shared" si="9"/>
        <v>1</v>
      </c>
      <c r="S107" s="25">
        <f t="shared" si="10"/>
        <v>0</v>
      </c>
      <c r="T107" s="25">
        <f t="shared" si="11"/>
        <v>0</v>
      </c>
    </row>
    <row r="108" spans="1:20">
      <c r="A108" s="25" t="s">
        <v>48</v>
      </c>
      <c r="B108" s="32">
        <v>45717</v>
      </c>
      <c r="C108" s="25" t="s">
        <v>27</v>
      </c>
      <c r="D108" s="25" t="s">
        <v>18</v>
      </c>
      <c r="E108" s="25">
        <v>64294.23</v>
      </c>
      <c r="F108" s="25">
        <v>6992</v>
      </c>
      <c r="G108" s="25">
        <v>0.13300000000000001</v>
      </c>
      <c r="H108" s="25">
        <v>14</v>
      </c>
      <c r="I108" s="25">
        <v>94.1</v>
      </c>
      <c r="J108" s="25">
        <v>0.25</v>
      </c>
      <c r="K108" s="25">
        <v>0</v>
      </c>
      <c r="L108" s="25">
        <v>3</v>
      </c>
      <c r="M108" s="25">
        <v>795153.84</v>
      </c>
      <c r="N108" s="25">
        <v>143194.21</v>
      </c>
      <c r="O108" s="25">
        <f t="shared" si="6"/>
        <v>0</v>
      </c>
      <c r="P108" s="25">
        <f t="shared" si="7"/>
        <v>0</v>
      </c>
      <c r="Q108" s="25">
        <f t="shared" si="8"/>
        <v>1</v>
      </c>
      <c r="R108" s="25">
        <f t="shared" si="9"/>
        <v>1</v>
      </c>
      <c r="S108" s="25">
        <f t="shared" si="10"/>
        <v>0</v>
      </c>
      <c r="T108" s="25">
        <f t="shared" si="11"/>
        <v>0</v>
      </c>
    </row>
    <row r="109" spans="1:20">
      <c r="A109" s="25" t="s">
        <v>48</v>
      </c>
      <c r="B109" s="32">
        <v>45748</v>
      </c>
      <c r="C109" s="25" t="s">
        <v>27</v>
      </c>
      <c r="D109" s="25" t="s">
        <v>18</v>
      </c>
      <c r="E109" s="25">
        <v>31042.03</v>
      </c>
      <c r="F109" s="25">
        <v>7107</v>
      </c>
      <c r="G109" s="25">
        <v>5.0999999999999997E-2</v>
      </c>
      <c r="H109" s="25">
        <v>15</v>
      </c>
      <c r="I109" s="25">
        <v>87</v>
      </c>
      <c r="J109" s="25">
        <v>13.33</v>
      </c>
      <c r="K109" s="25">
        <v>0</v>
      </c>
      <c r="L109" s="25">
        <v>3.2</v>
      </c>
      <c r="M109" s="25">
        <v>665594.93999999994</v>
      </c>
      <c r="N109" s="25">
        <v>127597.34</v>
      </c>
      <c r="O109" s="25">
        <f t="shared" si="6"/>
        <v>0</v>
      </c>
      <c r="P109" s="25">
        <f t="shared" si="7"/>
        <v>0</v>
      </c>
      <c r="Q109" s="25">
        <f t="shared" si="8"/>
        <v>1</v>
      </c>
      <c r="R109" s="25">
        <f t="shared" si="9"/>
        <v>1</v>
      </c>
      <c r="S109" s="25">
        <f t="shared" si="10"/>
        <v>0</v>
      </c>
      <c r="T109" s="25">
        <f t="shared" si="11"/>
        <v>0</v>
      </c>
    </row>
    <row r="110" spans="1:20">
      <c r="A110" s="25" t="s">
        <v>49</v>
      </c>
      <c r="B110" s="32">
        <v>45658</v>
      </c>
      <c r="C110" s="25" t="s">
        <v>15</v>
      </c>
      <c r="D110" s="25" t="s">
        <v>28</v>
      </c>
      <c r="E110" s="25">
        <v>75265.02</v>
      </c>
      <c r="F110" s="25">
        <v>6975</v>
      </c>
      <c r="G110" s="25">
        <v>0.157</v>
      </c>
      <c r="H110" s="25">
        <v>20</v>
      </c>
      <c r="I110" s="25">
        <v>73.8</v>
      </c>
      <c r="J110" s="25">
        <v>6.35</v>
      </c>
      <c r="K110" s="25">
        <v>1</v>
      </c>
      <c r="L110" s="25">
        <v>3.8</v>
      </c>
      <c r="M110" s="25">
        <v>709478.39</v>
      </c>
      <c r="N110" s="25">
        <v>71294.27</v>
      </c>
      <c r="O110" s="25">
        <f t="shared" si="6"/>
        <v>0</v>
      </c>
      <c r="P110" s="25">
        <f t="shared" si="7"/>
        <v>0</v>
      </c>
      <c r="Q110" s="25">
        <f t="shared" si="8"/>
        <v>0</v>
      </c>
      <c r="R110" s="25">
        <f t="shared" si="9"/>
        <v>0</v>
      </c>
      <c r="S110" s="25">
        <f t="shared" si="10"/>
        <v>1</v>
      </c>
      <c r="T110" s="25">
        <f t="shared" si="11"/>
        <v>0</v>
      </c>
    </row>
    <row r="111" spans="1:20">
      <c r="A111" s="25" t="s">
        <v>49</v>
      </c>
      <c r="B111" s="32">
        <v>45689</v>
      </c>
      <c r="C111" s="25" t="s">
        <v>15</v>
      </c>
      <c r="D111" s="25" t="s">
        <v>28</v>
      </c>
      <c r="E111" s="25">
        <v>69411.7</v>
      </c>
      <c r="F111" s="25">
        <v>5493</v>
      </c>
      <c r="G111" s="25">
        <v>0.29199999999999998</v>
      </c>
      <c r="H111" s="25">
        <v>13</v>
      </c>
      <c r="I111" s="25">
        <v>86.5</v>
      </c>
      <c r="J111" s="25">
        <v>6.69</v>
      </c>
      <c r="K111" s="25">
        <v>0</v>
      </c>
      <c r="L111" s="25">
        <v>3.8</v>
      </c>
      <c r="M111" s="25">
        <v>664162.49</v>
      </c>
      <c r="N111" s="25">
        <v>98291.06</v>
      </c>
      <c r="O111" s="25">
        <f t="shared" si="6"/>
        <v>0</v>
      </c>
      <c r="P111" s="25">
        <f t="shared" si="7"/>
        <v>0</v>
      </c>
      <c r="Q111" s="25">
        <f t="shared" si="8"/>
        <v>0</v>
      </c>
      <c r="R111" s="25">
        <f t="shared" si="9"/>
        <v>0</v>
      </c>
      <c r="S111" s="25">
        <f t="shared" si="10"/>
        <v>1</v>
      </c>
      <c r="T111" s="25">
        <f t="shared" si="11"/>
        <v>0</v>
      </c>
    </row>
    <row r="112" spans="1:20">
      <c r="A112" s="25" t="s">
        <v>49</v>
      </c>
      <c r="B112" s="32">
        <v>45717</v>
      </c>
      <c r="C112" s="25" t="s">
        <v>15</v>
      </c>
      <c r="D112" s="25" t="s">
        <v>28</v>
      </c>
      <c r="E112" s="25">
        <v>51056.15</v>
      </c>
      <c r="F112" s="25">
        <v>5686</v>
      </c>
      <c r="G112" s="25">
        <v>8.8999999999999996E-2</v>
      </c>
      <c r="H112" s="25">
        <v>13</v>
      </c>
      <c r="I112" s="25">
        <v>89.9</v>
      </c>
      <c r="J112" s="25">
        <v>1.28</v>
      </c>
      <c r="K112" s="25">
        <v>0</v>
      </c>
      <c r="L112" s="25">
        <v>4.2</v>
      </c>
      <c r="M112" s="25">
        <v>633494.21</v>
      </c>
      <c r="N112" s="25">
        <v>105739.47</v>
      </c>
      <c r="O112" s="25">
        <f t="shared" si="6"/>
        <v>0</v>
      </c>
      <c r="P112" s="25">
        <f t="shared" si="7"/>
        <v>0</v>
      </c>
      <c r="Q112" s="25">
        <f t="shared" si="8"/>
        <v>0</v>
      </c>
      <c r="R112" s="25">
        <f t="shared" si="9"/>
        <v>0</v>
      </c>
      <c r="S112" s="25">
        <f t="shared" si="10"/>
        <v>1</v>
      </c>
      <c r="T112" s="25">
        <f t="shared" si="11"/>
        <v>0</v>
      </c>
    </row>
    <row r="113" spans="1:20">
      <c r="A113" s="25" t="s">
        <v>49</v>
      </c>
      <c r="B113" s="32">
        <v>45748</v>
      </c>
      <c r="C113" s="25" t="s">
        <v>15</v>
      </c>
      <c r="D113" s="25" t="s">
        <v>28</v>
      </c>
      <c r="E113" s="25">
        <v>52758.01</v>
      </c>
      <c r="F113" s="25">
        <v>4063</v>
      </c>
      <c r="G113" s="25">
        <v>5.7000000000000002E-2</v>
      </c>
      <c r="H113" s="25">
        <v>12</v>
      </c>
      <c r="I113" s="25">
        <v>91.7</v>
      </c>
      <c r="J113" s="25">
        <v>0.92</v>
      </c>
      <c r="K113" s="25">
        <v>0</v>
      </c>
      <c r="L113" s="25">
        <v>3.5</v>
      </c>
      <c r="M113" s="25">
        <v>713611.16</v>
      </c>
      <c r="N113" s="25">
        <v>129717.18</v>
      </c>
      <c r="O113" s="25">
        <f t="shared" si="6"/>
        <v>0</v>
      </c>
      <c r="P113" s="25">
        <f t="shared" si="7"/>
        <v>0</v>
      </c>
      <c r="Q113" s="25">
        <f t="shared" si="8"/>
        <v>0</v>
      </c>
      <c r="R113" s="25">
        <f t="shared" si="9"/>
        <v>0</v>
      </c>
      <c r="S113" s="25">
        <f t="shared" si="10"/>
        <v>1</v>
      </c>
      <c r="T113" s="25">
        <f t="shared" si="11"/>
        <v>0</v>
      </c>
    </row>
    <row r="114" spans="1:20">
      <c r="A114" s="25" t="s">
        <v>50</v>
      </c>
      <c r="B114" s="32">
        <v>45658</v>
      </c>
      <c r="C114" s="25" t="s">
        <v>27</v>
      </c>
      <c r="D114" s="25" t="s">
        <v>28</v>
      </c>
      <c r="E114" s="25">
        <v>61426.04</v>
      </c>
      <c r="F114" s="25">
        <v>8966</v>
      </c>
      <c r="G114" s="25">
        <v>0.17299999999999999</v>
      </c>
      <c r="H114" s="25">
        <v>22</v>
      </c>
      <c r="I114" s="25">
        <v>76.400000000000006</v>
      </c>
      <c r="J114" s="25">
        <v>1.05</v>
      </c>
      <c r="K114" s="25">
        <v>0</v>
      </c>
      <c r="L114" s="25">
        <v>3.1</v>
      </c>
      <c r="M114" s="25">
        <v>778397.97</v>
      </c>
      <c r="N114" s="25">
        <v>120044.41</v>
      </c>
      <c r="O114" s="25">
        <f t="shared" si="6"/>
        <v>0</v>
      </c>
      <c r="P114" s="25">
        <f t="shared" si="7"/>
        <v>0</v>
      </c>
      <c r="Q114" s="25">
        <f t="shared" si="8"/>
        <v>1</v>
      </c>
      <c r="R114" s="25">
        <f t="shared" si="9"/>
        <v>0</v>
      </c>
      <c r="S114" s="25">
        <f t="shared" si="10"/>
        <v>1</v>
      </c>
      <c r="T114" s="25">
        <f t="shared" si="11"/>
        <v>0</v>
      </c>
    </row>
    <row r="115" spans="1:20">
      <c r="A115" s="25" t="s">
        <v>50</v>
      </c>
      <c r="B115" s="32">
        <v>45689</v>
      </c>
      <c r="C115" s="25" t="s">
        <v>27</v>
      </c>
      <c r="D115" s="25" t="s">
        <v>28</v>
      </c>
      <c r="E115" s="25">
        <v>80176.34</v>
      </c>
      <c r="F115" s="25">
        <v>9489</v>
      </c>
      <c r="G115" s="25">
        <v>0.14199999999999999</v>
      </c>
      <c r="H115" s="25">
        <v>22</v>
      </c>
      <c r="I115" s="25">
        <v>94.3</v>
      </c>
      <c r="J115" s="25">
        <v>2.67</v>
      </c>
      <c r="K115" s="25">
        <v>0</v>
      </c>
      <c r="L115" s="25">
        <v>3.5</v>
      </c>
      <c r="M115" s="25">
        <v>873380.02</v>
      </c>
      <c r="N115" s="25">
        <v>149734.76</v>
      </c>
      <c r="O115" s="25">
        <f t="shared" si="6"/>
        <v>0</v>
      </c>
      <c r="P115" s="25">
        <f t="shared" si="7"/>
        <v>0</v>
      </c>
      <c r="Q115" s="25">
        <f t="shared" si="8"/>
        <v>1</v>
      </c>
      <c r="R115" s="25">
        <f t="shared" si="9"/>
        <v>0</v>
      </c>
      <c r="S115" s="25">
        <f t="shared" si="10"/>
        <v>1</v>
      </c>
      <c r="T115" s="25">
        <f t="shared" si="11"/>
        <v>0</v>
      </c>
    </row>
    <row r="116" spans="1:20">
      <c r="A116" s="25" t="s">
        <v>50</v>
      </c>
      <c r="B116" s="32">
        <v>45717</v>
      </c>
      <c r="C116" s="25" t="s">
        <v>27</v>
      </c>
      <c r="D116" s="25" t="s">
        <v>28</v>
      </c>
      <c r="E116" s="25">
        <v>33605.18</v>
      </c>
      <c r="F116" s="25">
        <v>9225</v>
      </c>
      <c r="G116" s="25">
        <v>0.159</v>
      </c>
      <c r="H116" s="25">
        <v>23</v>
      </c>
      <c r="I116" s="25">
        <v>88.4</v>
      </c>
      <c r="J116" s="25">
        <v>5.91</v>
      </c>
      <c r="K116" s="25">
        <v>0</v>
      </c>
      <c r="L116" s="25">
        <v>2.8</v>
      </c>
      <c r="M116" s="25">
        <v>697287.9</v>
      </c>
      <c r="N116" s="25">
        <v>128208.33</v>
      </c>
      <c r="O116" s="25">
        <f t="shared" si="6"/>
        <v>0</v>
      </c>
      <c r="P116" s="25">
        <f t="shared" si="7"/>
        <v>0</v>
      </c>
      <c r="Q116" s="25">
        <f t="shared" si="8"/>
        <v>1</v>
      </c>
      <c r="R116" s="25">
        <f t="shared" si="9"/>
        <v>0</v>
      </c>
      <c r="S116" s="25">
        <f t="shared" si="10"/>
        <v>1</v>
      </c>
      <c r="T116" s="25">
        <f t="shared" si="11"/>
        <v>0</v>
      </c>
    </row>
    <row r="117" spans="1:20">
      <c r="A117" s="25" t="s">
        <v>50</v>
      </c>
      <c r="B117" s="32">
        <v>45748</v>
      </c>
      <c r="C117" s="25" t="s">
        <v>27</v>
      </c>
      <c r="D117" s="25" t="s">
        <v>28</v>
      </c>
      <c r="E117" s="25">
        <v>25990.54</v>
      </c>
      <c r="F117" s="25">
        <v>9249</v>
      </c>
      <c r="G117" s="25">
        <v>0.13900000000000001</v>
      </c>
      <c r="H117" s="25">
        <v>23</v>
      </c>
      <c r="I117" s="25">
        <v>92.5</v>
      </c>
      <c r="J117" s="25">
        <v>6.37</v>
      </c>
      <c r="K117" s="25">
        <v>0</v>
      </c>
      <c r="L117" s="25">
        <v>3.3</v>
      </c>
      <c r="M117" s="25">
        <v>718074.79</v>
      </c>
      <c r="N117" s="25">
        <v>115819.87</v>
      </c>
      <c r="O117" s="25">
        <f t="shared" si="6"/>
        <v>0</v>
      </c>
      <c r="P117" s="25">
        <f t="shared" si="7"/>
        <v>0</v>
      </c>
      <c r="Q117" s="25">
        <f t="shared" si="8"/>
        <v>1</v>
      </c>
      <c r="R117" s="25">
        <f t="shared" si="9"/>
        <v>0</v>
      </c>
      <c r="S117" s="25">
        <f t="shared" si="10"/>
        <v>1</v>
      </c>
      <c r="T117" s="25">
        <f t="shared" si="11"/>
        <v>0</v>
      </c>
    </row>
    <row r="118" spans="1:20">
      <c r="A118" s="25" t="s">
        <v>51</v>
      </c>
      <c r="B118" s="32">
        <v>45658</v>
      </c>
      <c r="C118" s="25" t="s">
        <v>27</v>
      </c>
      <c r="D118" s="25" t="s">
        <v>16</v>
      </c>
      <c r="E118" s="25">
        <v>43685.14</v>
      </c>
      <c r="F118" s="25">
        <v>7821</v>
      </c>
      <c r="G118" s="25">
        <v>0.19</v>
      </c>
      <c r="H118" s="25">
        <v>17</v>
      </c>
      <c r="I118" s="25">
        <v>91</v>
      </c>
      <c r="J118" s="25">
        <v>2.4900000000000002</v>
      </c>
      <c r="K118" s="25">
        <v>1</v>
      </c>
      <c r="L118" s="25">
        <v>4.7</v>
      </c>
      <c r="M118" s="25">
        <v>714942.43</v>
      </c>
      <c r="N118" s="25">
        <v>94697.71</v>
      </c>
      <c r="O118" s="25">
        <f t="shared" si="6"/>
        <v>0</v>
      </c>
      <c r="P118" s="25">
        <f t="shared" si="7"/>
        <v>0</v>
      </c>
      <c r="Q118" s="25">
        <f t="shared" si="8"/>
        <v>1</v>
      </c>
      <c r="R118" s="25">
        <f t="shared" si="9"/>
        <v>0</v>
      </c>
      <c r="S118" s="25">
        <f t="shared" si="10"/>
        <v>0</v>
      </c>
      <c r="T118" s="25">
        <f t="shared" si="11"/>
        <v>1</v>
      </c>
    </row>
    <row r="119" spans="1:20">
      <c r="A119" s="25" t="s">
        <v>51</v>
      </c>
      <c r="B119" s="32">
        <v>45689</v>
      </c>
      <c r="C119" s="25" t="s">
        <v>27</v>
      </c>
      <c r="D119" s="25" t="s">
        <v>16</v>
      </c>
      <c r="E119" s="25">
        <v>57360.01</v>
      </c>
      <c r="F119" s="25">
        <v>8434</v>
      </c>
      <c r="G119" s="25">
        <v>0.151</v>
      </c>
      <c r="H119" s="25">
        <v>19</v>
      </c>
      <c r="I119" s="25">
        <v>84.1</v>
      </c>
      <c r="J119" s="25">
        <v>1.56</v>
      </c>
      <c r="K119" s="25">
        <v>0</v>
      </c>
      <c r="L119" s="25">
        <v>4.7</v>
      </c>
      <c r="M119" s="25">
        <v>820519.04</v>
      </c>
      <c r="N119" s="25">
        <v>99035.88</v>
      </c>
      <c r="O119" s="25">
        <f t="shared" si="6"/>
        <v>0</v>
      </c>
      <c r="P119" s="25">
        <f t="shared" si="7"/>
        <v>0</v>
      </c>
      <c r="Q119" s="25">
        <f t="shared" si="8"/>
        <v>1</v>
      </c>
      <c r="R119" s="25">
        <f t="shared" si="9"/>
        <v>0</v>
      </c>
      <c r="S119" s="25">
        <f t="shared" si="10"/>
        <v>0</v>
      </c>
      <c r="T119" s="25">
        <f t="shared" si="11"/>
        <v>1</v>
      </c>
    </row>
    <row r="120" spans="1:20">
      <c r="A120" s="25" t="s">
        <v>51</v>
      </c>
      <c r="B120" s="32">
        <v>45717</v>
      </c>
      <c r="C120" s="25" t="s">
        <v>27</v>
      </c>
      <c r="D120" s="25" t="s">
        <v>16</v>
      </c>
      <c r="E120" s="25">
        <v>42415.47</v>
      </c>
      <c r="F120" s="25">
        <v>8512</v>
      </c>
      <c r="G120" s="25">
        <v>0.13300000000000001</v>
      </c>
      <c r="H120" s="25">
        <v>18</v>
      </c>
      <c r="I120" s="25">
        <v>96.8</v>
      </c>
      <c r="J120" s="25">
        <v>14.95</v>
      </c>
      <c r="K120" s="25">
        <v>0</v>
      </c>
      <c r="L120" s="25">
        <v>4.5999999999999996</v>
      </c>
      <c r="M120" s="25">
        <v>684217.32</v>
      </c>
      <c r="N120" s="25">
        <v>136217.19</v>
      </c>
      <c r="O120" s="25">
        <f t="shared" si="6"/>
        <v>0</v>
      </c>
      <c r="P120" s="25">
        <f t="shared" si="7"/>
        <v>0</v>
      </c>
      <c r="Q120" s="25">
        <f t="shared" si="8"/>
        <v>1</v>
      </c>
      <c r="R120" s="25">
        <f t="shared" si="9"/>
        <v>0</v>
      </c>
      <c r="S120" s="25">
        <f t="shared" si="10"/>
        <v>0</v>
      </c>
      <c r="T120" s="25">
        <f t="shared" si="11"/>
        <v>1</v>
      </c>
    </row>
    <row r="121" spans="1:20">
      <c r="A121" s="25" t="s">
        <v>51</v>
      </c>
      <c r="B121" s="32">
        <v>45748</v>
      </c>
      <c r="C121" s="25" t="s">
        <v>27</v>
      </c>
      <c r="D121" s="25" t="s">
        <v>16</v>
      </c>
      <c r="E121" s="25">
        <v>54968.98</v>
      </c>
      <c r="F121" s="25">
        <v>7816</v>
      </c>
      <c r="G121" s="25">
        <v>0.23200000000000001</v>
      </c>
      <c r="H121" s="25">
        <v>19</v>
      </c>
      <c r="I121" s="25">
        <v>95.7</v>
      </c>
      <c r="J121" s="25">
        <v>7.85</v>
      </c>
      <c r="K121" s="25">
        <v>0</v>
      </c>
      <c r="L121" s="25">
        <v>4.7</v>
      </c>
      <c r="M121" s="25">
        <v>735480.19</v>
      </c>
      <c r="N121" s="25">
        <v>88342.11</v>
      </c>
      <c r="O121" s="25">
        <f t="shared" si="6"/>
        <v>0</v>
      </c>
      <c r="P121" s="25">
        <f t="shared" si="7"/>
        <v>0</v>
      </c>
      <c r="Q121" s="25">
        <f t="shared" si="8"/>
        <v>1</v>
      </c>
      <c r="R121" s="25">
        <f t="shared" si="9"/>
        <v>0</v>
      </c>
      <c r="S121" s="25">
        <f t="shared" si="10"/>
        <v>0</v>
      </c>
      <c r="T121" s="25">
        <f t="shared" si="11"/>
        <v>1</v>
      </c>
    </row>
    <row r="122" spans="1:20">
      <c r="A122" s="25" t="s">
        <v>52</v>
      </c>
      <c r="B122" s="32">
        <v>45658</v>
      </c>
      <c r="C122" s="25" t="s">
        <v>20</v>
      </c>
      <c r="D122" s="25" t="s">
        <v>18</v>
      </c>
      <c r="E122" s="25">
        <v>43896.13</v>
      </c>
      <c r="F122" s="25">
        <v>3853</v>
      </c>
      <c r="G122" s="25">
        <v>8.7999999999999995E-2</v>
      </c>
      <c r="H122" s="25">
        <v>13</v>
      </c>
      <c r="I122" s="25">
        <v>83</v>
      </c>
      <c r="J122" s="25">
        <v>6.8</v>
      </c>
      <c r="K122" s="25">
        <v>0</v>
      </c>
      <c r="L122" s="25">
        <v>4.4000000000000004</v>
      </c>
      <c r="M122" s="25">
        <v>509484.81</v>
      </c>
      <c r="N122" s="25">
        <v>85742.36</v>
      </c>
      <c r="O122" s="25">
        <f t="shared" si="6"/>
        <v>1</v>
      </c>
      <c r="P122" s="25">
        <f t="shared" si="7"/>
        <v>0</v>
      </c>
      <c r="Q122" s="25">
        <f t="shared" si="8"/>
        <v>0</v>
      </c>
      <c r="R122" s="25">
        <f t="shared" si="9"/>
        <v>1</v>
      </c>
      <c r="S122" s="25">
        <f t="shared" si="10"/>
        <v>0</v>
      </c>
      <c r="T122" s="25">
        <f t="shared" si="11"/>
        <v>0</v>
      </c>
    </row>
    <row r="123" spans="1:20">
      <c r="A123" s="25" t="s">
        <v>52</v>
      </c>
      <c r="B123" s="32">
        <v>45689</v>
      </c>
      <c r="C123" s="25" t="s">
        <v>20</v>
      </c>
      <c r="D123" s="25" t="s">
        <v>18</v>
      </c>
      <c r="E123" s="25">
        <v>83044.17</v>
      </c>
      <c r="F123" s="25">
        <v>3694</v>
      </c>
      <c r="G123" s="25">
        <v>0</v>
      </c>
      <c r="H123" s="25">
        <v>14</v>
      </c>
      <c r="I123" s="25">
        <v>89.4</v>
      </c>
      <c r="J123" s="25">
        <v>2.2000000000000002</v>
      </c>
      <c r="K123" s="25">
        <v>0</v>
      </c>
      <c r="L123" s="25">
        <v>3.7</v>
      </c>
      <c r="M123" s="25">
        <v>654317.09</v>
      </c>
      <c r="N123" s="25">
        <v>121446.89</v>
      </c>
      <c r="O123" s="25">
        <f t="shared" si="6"/>
        <v>1</v>
      </c>
      <c r="P123" s="25">
        <f t="shared" si="7"/>
        <v>0</v>
      </c>
      <c r="Q123" s="25">
        <f t="shared" si="8"/>
        <v>0</v>
      </c>
      <c r="R123" s="25">
        <f t="shared" si="9"/>
        <v>1</v>
      </c>
      <c r="S123" s="25">
        <f t="shared" si="10"/>
        <v>0</v>
      </c>
      <c r="T123" s="25">
        <f t="shared" si="11"/>
        <v>0</v>
      </c>
    </row>
    <row r="124" spans="1:20">
      <c r="A124" s="25" t="s">
        <v>52</v>
      </c>
      <c r="B124" s="32">
        <v>45717</v>
      </c>
      <c r="C124" s="25" t="s">
        <v>20</v>
      </c>
      <c r="D124" s="25" t="s">
        <v>18</v>
      </c>
      <c r="E124" s="25">
        <v>48396.13</v>
      </c>
      <c r="F124" s="25">
        <v>4423</v>
      </c>
      <c r="G124" s="25">
        <v>6.9000000000000006E-2</v>
      </c>
      <c r="H124" s="25">
        <v>15</v>
      </c>
      <c r="I124" s="25">
        <v>85.7</v>
      </c>
      <c r="J124" s="25">
        <v>1.88</v>
      </c>
      <c r="K124" s="25">
        <v>0</v>
      </c>
      <c r="L124" s="25">
        <v>3.9</v>
      </c>
      <c r="M124" s="25">
        <v>557487.26</v>
      </c>
      <c r="N124" s="25">
        <v>76432.19</v>
      </c>
      <c r="O124" s="25">
        <f t="shared" si="6"/>
        <v>1</v>
      </c>
      <c r="P124" s="25">
        <f t="shared" si="7"/>
        <v>0</v>
      </c>
      <c r="Q124" s="25">
        <f t="shared" si="8"/>
        <v>0</v>
      </c>
      <c r="R124" s="25">
        <f t="shared" si="9"/>
        <v>1</v>
      </c>
      <c r="S124" s="25">
        <f t="shared" si="10"/>
        <v>0</v>
      </c>
      <c r="T124" s="25">
        <f t="shared" si="11"/>
        <v>0</v>
      </c>
    </row>
    <row r="125" spans="1:20">
      <c r="A125" s="25" t="s">
        <v>52</v>
      </c>
      <c r="B125" s="32">
        <v>45748</v>
      </c>
      <c r="C125" s="25" t="s">
        <v>20</v>
      </c>
      <c r="D125" s="25" t="s">
        <v>18</v>
      </c>
      <c r="E125" s="25">
        <v>19063.48</v>
      </c>
      <c r="F125" s="25">
        <v>1906</v>
      </c>
      <c r="G125" s="25">
        <v>0.216</v>
      </c>
      <c r="H125" s="25">
        <v>10</v>
      </c>
      <c r="I125" s="25">
        <v>97.8</v>
      </c>
      <c r="J125" s="25">
        <v>15.79</v>
      </c>
      <c r="K125" s="25">
        <v>0</v>
      </c>
      <c r="L125" s="25">
        <v>4.4000000000000004</v>
      </c>
      <c r="M125" s="25">
        <v>441275.42</v>
      </c>
      <c r="N125" s="25">
        <v>58234.87</v>
      </c>
      <c r="O125" s="25">
        <f t="shared" si="6"/>
        <v>1</v>
      </c>
      <c r="P125" s="25">
        <f t="shared" si="7"/>
        <v>0</v>
      </c>
      <c r="Q125" s="25">
        <f t="shared" si="8"/>
        <v>0</v>
      </c>
      <c r="R125" s="25">
        <f t="shared" si="9"/>
        <v>1</v>
      </c>
      <c r="S125" s="25">
        <f t="shared" si="10"/>
        <v>0</v>
      </c>
      <c r="T125" s="25">
        <f t="shared" si="11"/>
        <v>0</v>
      </c>
    </row>
    <row r="126" spans="1:20">
      <c r="A126" s="25" t="s">
        <v>53</v>
      </c>
      <c r="B126" s="32">
        <v>45658</v>
      </c>
      <c r="C126" s="25" t="s">
        <v>24</v>
      </c>
      <c r="D126" s="25" t="s">
        <v>18</v>
      </c>
      <c r="E126" s="25">
        <v>61541.21</v>
      </c>
      <c r="F126" s="25">
        <v>10396</v>
      </c>
      <c r="G126" s="25">
        <v>0.123</v>
      </c>
      <c r="H126" s="25">
        <v>25</v>
      </c>
      <c r="I126" s="25">
        <v>88.1</v>
      </c>
      <c r="J126" s="25">
        <v>2.34</v>
      </c>
      <c r="K126" s="25">
        <v>1</v>
      </c>
      <c r="L126" s="25">
        <v>4.8</v>
      </c>
      <c r="M126" s="25">
        <v>914544.17</v>
      </c>
      <c r="N126" s="25">
        <v>79831.73</v>
      </c>
      <c r="O126" s="25">
        <f t="shared" si="6"/>
        <v>0</v>
      </c>
      <c r="P126" s="25">
        <f t="shared" si="7"/>
        <v>1</v>
      </c>
      <c r="Q126" s="25">
        <f t="shared" si="8"/>
        <v>0</v>
      </c>
      <c r="R126" s="25">
        <f t="shared" si="9"/>
        <v>1</v>
      </c>
      <c r="S126" s="25">
        <f t="shared" si="10"/>
        <v>0</v>
      </c>
      <c r="T126" s="25">
        <f t="shared" si="11"/>
        <v>0</v>
      </c>
    </row>
    <row r="127" spans="1:20">
      <c r="A127" s="25" t="s">
        <v>53</v>
      </c>
      <c r="B127" s="32">
        <v>45689</v>
      </c>
      <c r="C127" s="25" t="s">
        <v>24</v>
      </c>
      <c r="D127" s="25" t="s">
        <v>18</v>
      </c>
      <c r="E127" s="25">
        <v>44747</v>
      </c>
      <c r="F127" s="25">
        <v>11076</v>
      </c>
      <c r="G127" s="25">
        <v>0.17599999999999999</v>
      </c>
      <c r="H127" s="25">
        <v>27</v>
      </c>
      <c r="I127" s="25">
        <v>98.3</v>
      </c>
      <c r="J127" s="25">
        <v>0.54</v>
      </c>
      <c r="K127" s="25">
        <v>0</v>
      </c>
      <c r="L127" s="25">
        <v>4.4000000000000004</v>
      </c>
      <c r="M127" s="25">
        <v>842439.67</v>
      </c>
      <c r="N127" s="25">
        <v>169983.63</v>
      </c>
      <c r="O127" s="25">
        <f t="shared" si="6"/>
        <v>0</v>
      </c>
      <c r="P127" s="25">
        <f t="shared" si="7"/>
        <v>1</v>
      </c>
      <c r="Q127" s="25">
        <f t="shared" si="8"/>
        <v>0</v>
      </c>
      <c r="R127" s="25">
        <f t="shared" si="9"/>
        <v>1</v>
      </c>
      <c r="S127" s="25">
        <f t="shared" si="10"/>
        <v>0</v>
      </c>
      <c r="T127" s="25">
        <f t="shared" si="11"/>
        <v>0</v>
      </c>
    </row>
    <row r="128" spans="1:20">
      <c r="A128" s="25" t="s">
        <v>53</v>
      </c>
      <c r="B128" s="32">
        <v>45717</v>
      </c>
      <c r="C128" s="25" t="s">
        <v>24</v>
      </c>
      <c r="D128" s="25" t="s">
        <v>18</v>
      </c>
      <c r="E128" s="25">
        <v>56517.9</v>
      </c>
      <c r="F128" s="25">
        <v>9574</v>
      </c>
      <c r="G128" s="25">
        <v>0.20399999999999999</v>
      </c>
      <c r="H128" s="25">
        <v>20</v>
      </c>
      <c r="I128" s="25">
        <v>88.2</v>
      </c>
      <c r="J128" s="25">
        <v>5.37</v>
      </c>
      <c r="K128" s="25">
        <v>1</v>
      </c>
      <c r="L128" s="25">
        <v>4.9000000000000004</v>
      </c>
      <c r="M128" s="25">
        <v>842157.92</v>
      </c>
      <c r="N128" s="25">
        <v>107348.22</v>
      </c>
      <c r="O128" s="25">
        <f t="shared" si="6"/>
        <v>0</v>
      </c>
      <c r="P128" s="25">
        <f t="shared" si="7"/>
        <v>1</v>
      </c>
      <c r="Q128" s="25">
        <f t="shared" si="8"/>
        <v>0</v>
      </c>
      <c r="R128" s="25">
        <f t="shared" si="9"/>
        <v>1</v>
      </c>
      <c r="S128" s="25">
        <f t="shared" si="10"/>
        <v>0</v>
      </c>
      <c r="T128" s="25">
        <f t="shared" si="11"/>
        <v>0</v>
      </c>
    </row>
    <row r="129" spans="1:20">
      <c r="A129" s="25" t="s">
        <v>53</v>
      </c>
      <c r="B129" s="32">
        <v>45748</v>
      </c>
      <c r="C129" s="25" t="s">
        <v>24</v>
      </c>
      <c r="D129" s="25" t="s">
        <v>18</v>
      </c>
      <c r="E129" s="25">
        <v>37828.5</v>
      </c>
      <c r="F129" s="25">
        <v>8221</v>
      </c>
      <c r="G129" s="25">
        <v>9.6000000000000002E-2</v>
      </c>
      <c r="H129" s="25">
        <v>19</v>
      </c>
      <c r="I129" s="25">
        <v>81.5</v>
      </c>
      <c r="J129" s="25">
        <v>3.19</v>
      </c>
      <c r="K129" s="25">
        <v>0</v>
      </c>
      <c r="L129" s="25">
        <v>4.8</v>
      </c>
      <c r="M129" s="25">
        <v>697155.3</v>
      </c>
      <c r="N129" s="25">
        <v>136408.54</v>
      </c>
      <c r="O129" s="25">
        <f t="shared" si="6"/>
        <v>0</v>
      </c>
      <c r="P129" s="25">
        <f t="shared" si="7"/>
        <v>1</v>
      </c>
      <c r="Q129" s="25">
        <f t="shared" si="8"/>
        <v>0</v>
      </c>
      <c r="R129" s="25">
        <f t="shared" si="9"/>
        <v>1</v>
      </c>
      <c r="S129" s="25">
        <f t="shared" si="10"/>
        <v>0</v>
      </c>
      <c r="T129" s="25">
        <f t="shared" si="11"/>
        <v>0</v>
      </c>
    </row>
    <row r="130" spans="1:20">
      <c r="A130" s="25" t="s">
        <v>54</v>
      </c>
      <c r="B130" s="32">
        <v>45658</v>
      </c>
      <c r="C130" s="25" t="s">
        <v>15</v>
      </c>
      <c r="D130" s="25" t="s">
        <v>18</v>
      </c>
      <c r="E130" s="25">
        <v>66250.53</v>
      </c>
      <c r="F130" s="25">
        <v>10618</v>
      </c>
      <c r="G130" s="25">
        <v>0.14199999999999999</v>
      </c>
      <c r="H130" s="25">
        <v>27</v>
      </c>
      <c r="I130" s="25">
        <v>88.3</v>
      </c>
      <c r="J130" s="25">
        <v>1.1000000000000001</v>
      </c>
      <c r="K130" s="25">
        <v>1</v>
      </c>
      <c r="L130" s="25">
        <v>4.4000000000000004</v>
      </c>
      <c r="M130" s="25">
        <v>849018.3</v>
      </c>
      <c r="N130" s="25">
        <v>149035.13</v>
      </c>
      <c r="O130" s="25">
        <f t="shared" si="6"/>
        <v>0</v>
      </c>
      <c r="P130" s="25">
        <f t="shared" si="7"/>
        <v>0</v>
      </c>
      <c r="Q130" s="25">
        <f t="shared" si="8"/>
        <v>0</v>
      </c>
      <c r="R130" s="25">
        <f t="shared" si="9"/>
        <v>1</v>
      </c>
      <c r="S130" s="25">
        <f t="shared" si="10"/>
        <v>0</v>
      </c>
      <c r="T130" s="25">
        <f t="shared" si="11"/>
        <v>0</v>
      </c>
    </row>
    <row r="131" spans="1:20">
      <c r="A131" s="25" t="s">
        <v>54</v>
      </c>
      <c r="B131" s="32">
        <v>45689</v>
      </c>
      <c r="C131" s="25" t="s">
        <v>15</v>
      </c>
      <c r="D131" s="25" t="s">
        <v>18</v>
      </c>
      <c r="E131" s="25">
        <v>68410.929999999993</v>
      </c>
      <c r="F131" s="25">
        <v>10596</v>
      </c>
      <c r="G131" s="25">
        <v>0.20699999999999999</v>
      </c>
      <c r="H131" s="25">
        <v>25</v>
      </c>
      <c r="I131" s="25">
        <v>81.2</v>
      </c>
      <c r="J131" s="25">
        <v>0.21</v>
      </c>
      <c r="K131" s="25">
        <v>0</v>
      </c>
      <c r="L131" s="25">
        <v>4</v>
      </c>
      <c r="M131" s="25">
        <v>801830.35</v>
      </c>
      <c r="N131" s="25">
        <v>114875.32</v>
      </c>
      <c r="O131" s="25">
        <f t="shared" ref="O131:O194" si="12">IF(C131="North",1,0)</f>
        <v>0</v>
      </c>
      <c r="P131" s="25">
        <f t="shared" ref="P131:P194" si="13">IF(C131="South",1,0)</f>
        <v>0</v>
      </c>
      <c r="Q131" s="25">
        <f t="shared" ref="Q131:Q194" si="14">IF(C131="West",1,0)</f>
        <v>0</v>
      </c>
      <c r="R131" s="25">
        <f t="shared" ref="R131:R194" si="15">IF(D131="High Street",1,0)</f>
        <v>1</v>
      </c>
      <c r="S131" s="25">
        <f t="shared" ref="S131:S194" si="16">IF(D131="Mall",1,0)</f>
        <v>0</v>
      </c>
      <c r="T131" s="25">
        <f t="shared" ref="T131:T194" si="17">IF(D131="Residential",1,0)</f>
        <v>0</v>
      </c>
    </row>
    <row r="132" spans="1:20">
      <c r="A132" s="25" t="s">
        <v>54</v>
      </c>
      <c r="B132" s="32">
        <v>45717</v>
      </c>
      <c r="C132" s="25" t="s">
        <v>15</v>
      </c>
      <c r="D132" s="25" t="s">
        <v>18</v>
      </c>
      <c r="E132" s="25">
        <v>50735.63</v>
      </c>
      <c r="F132" s="25">
        <v>9619</v>
      </c>
      <c r="G132" s="25">
        <v>0.14399999999999999</v>
      </c>
      <c r="H132" s="25">
        <v>19</v>
      </c>
      <c r="I132" s="25">
        <v>93.8</v>
      </c>
      <c r="J132" s="25">
        <v>5.12</v>
      </c>
      <c r="K132" s="25">
        <v>1</v>
      </c>
      <c r="L132" s="25">
        <v>4.5</v>
      </c>
      <c r="M132" s="25">
        <v>725235.28</v>
      </c>
      <c r="N132" s="25">
        <v>121632.24</v>
      </c>
      <c r="O132" s="25">
        <f t="shared" si="12"/>
        <v>0</v>
      </c>
      <c r="P132" s="25">
        <f t="shared" si="13"/>
        <v>0</v>
      </c>
      <c r="Q132" s="25">
        <f t="shared" si="14"/>
        <v>0</v>
      </c>
      <c r="R132" s="25">
        <f t="shared" si="15"/>
        <v>1</v>
      </c>
      <c r="S132" s="25">
        <f t="shared" si="16"/>
        <v>0</v>
      </c>
      <c r="T132" s="25">
        <f t="shared" si="17"/>
        <v>0</v>
      </c>
    </row>
    <row r="133" spans="1:20">
      <c r="A133" s="25" t="s">
        <v>54</v>
      </c>
      <c r="B133" s="32">
        <v>45748</v>
      </c>
      <c r="C133" s="25" t="s">
        <v>15</v>
      </c>
      <c r="D133" s="25" t="s">
        <v>18</v>
      </c>
      <c r="E133" s="25">
        <v>66455.8</v>
      </c>
      <c r="F133" s="25">
        <v>10836</v>
      </c>
      <c r="G133" s="25">
        <v>8.8999999999999996E-2</v>
      </c>
      <c r="H133" s="25">
        <v>25</v>
      </c>
      <c r="I133" s="25">
        <v>85</v>
      </c>
      <c r="J133" s="25">
        <v>9.77</v>
      </c>
      <c r="K133" s="25">
        <v>0</v>
      </c>
      <c r="L133" s="25">
        <v>4.5</v>
      </c>
      <c r="M133" s="25">
        <v>811452.72</v>
      </c>
      <c r="N133" s="25">
        <v>131325.67000000001</v>
      </c>
      <c r="O133" s="25">
        <f t="shared" si="12"/>
        <v>0</v>
      </c>
      <c r="P133" s="25">
        <f t="shared" si="13"/>
        <v>0</v>
      </c>
      <c r="Q133" s="25">
        <f t="shared" si="14"/>
        <v>0</v>
      </c>
      <c r="R133" s="25">
        <f t="shared" si="15"/>
        <v>1</v>
      </c>
      <c r="S133" s="25">
        <f t="shared" si="16"/>
        <v>0</v>
      </c>
      <c r="T133" s="25">
        <f t="shared" si="17"/>
        <v>0</v>
      </c>
    </row>
    <row r="134" spans="1:20">
      <c r="A134" s="25" t="s">
        <v>55</v>
      </c>
      <c r="B134" s="32">
        <v>45658</v>
      </c>
      <c r="C134" s="25" t="s">
        <v>20</v>
      </c>
      <c r="D134" s="25" t="s">
        <v>18</v>
      </c>
      <c r="E134" s="25">
        <v>70276.28</v>
      </c>
      <c r="F134" s="25">
        <v>3043</v>
      </c>
      <c r="G134" s="25">
        <v>7.9000000000000001E-2</v>
      </c>
      <c r="H134" s="25">
        <v>9</v>
      </c>
      <c r="I134" s="25">
        <v>87.9</v>
      </c>
      <c r="J134" s="25">
        <v>3.77</v>
      </c>
      <c r="K134" s="25">
        <v>0</v>
      </c>
      <c r="L134" s="25">
        <v>4.4000000000000004</v>
      </c>
      <c r="M134" s="25">
        <v>527300.13</v>
      </c>
      <c r="N134" s="25">
        <v>84197.87</v>
      </c>
      <c r="O134" s="25">
        <f t="shared" si="12"/>
        <v>1</v>
      </c>
      <c r="P134" s="25">
        <f t="shared" si="13"/>
        <v>0</v>
      </c>
      <c r="Q134" s="25">
        <f t="shared" si="14"/>
        <v>0</v>
      </c>
      <c r="R134" s="25">
        <f t="shared" si="15"/>
        <v>1</v>
      </c>
      <c r="S134" s="25">
        <f t="shared" si="16"/>
        <v>0</v>
      </c>
      <c r="T134" s="25">
        <f t="shared" si="17"/>
        <v>0</v>
      </c>
    </row>
    <row r="135" spans="1:20">
      <c r="A135" s="25" t="s">
        <v>55</v>
      </c>
      <c r="B135" s="32">
        <v>45689</v>
      </c>
      <c r="C135" s="25" t="s">
        <v>20</v>
      </c>
      <c r="D135" s="25" t="s">
        <v>18</v>
      </c>
      <c r="E135" s="25">
        <v>22071.64</v>
      </c>
      <c r="F135" s="25">
        <v>1814</v>
      </c>
      <c r="G135" s="25">
        <v>0.19600000000000001</v>
      </c>
      <c r="H135" s="25">
        <v>8</v>
      </c>
      <c r="I135" s="25">
        <v>81.099999999999994</v>
      </c>
      <c r="J135" s="25">
        <v>0.78</v>
      </c>
      <c r="K135" s="25">
        <v>0</v>
      </c>
      <c r="L135" s="25">
        <v>3.92</v>
      </c>
      <c r="M135" s="25">
        <v>400831.65</v>
      </c>
      <c r="N135" s="25">
        <v>70979.31</v>
      </c>
      <c r="O135" s="25">
        <f t="shared" si="12"/>
        <v>1</v>
      </c>
      <c r="P135" s="25">
        <f t="shared" si="13"/>
        <v>0</v>
      </c>
      <c r="Q135" s="25">
        <f t="shared" si="14"/>
        <v>0</v>
      </c>
      <c r="R135" s="25">
        <f t="shared" si="15"/>
        <v>1</v>
      </c>
      <c r="S135" s="25">
        <f t="shared" si="16"/>
        <v>0</v>
      </c>
      <c r="T135" s="25">
        <f t="shared" si="17"/>
        <v>0</v>
      </c>
    </row>
    <row r="136" spans="1:20">
      <c r="A136" s="25" t="s">
        <v>55</v>
      </c>
      <c r="B136" s="32">
        <v>45717</v>
      </c>
      <c r="C136" s="25" t="s">
        <v>20</v>
      </c>
      <c r="D136" s="25" t="s">
        <v>18</v>
      </c>
      <c r="E136" s="25">
        <v>52285.45</v>
      </c>
      <c r="F136" s="25">
        <v>3618</v>
      </c>
      <c r="G136" s="25">
        <v>8.5999999999999993E-2</v>
      </c>
      <c r="H136" s="25">
        <v>11</v>
      </c>
      <c r="I136" s="25">
        <v>95.6</v>
      </c>
      <c r="J136" s="25">
        <v>5.17</v>
      </c>
      <c r="K136" s="25">
        <v>1</v>
      </c>
      <c r="L136" s="25">
        <v>4.4000000000000004</v>
      </c>
      <c r="M136" s="25">
        <v>593247.25</v>
      </c>
      <c r="N136" s="25">
        <v>81240.289999999994</v>
      </c>
      <c r="O136" s="25">
        <f t="shared" si="12"/>
        <v>1</v>
      </c>
      <c r="P136" s="25">
        <f t="shared" si="13"/>
        <v>0</v>
      </c>
      <c r="Q136" s="25">
        <f t="shared" si="14"/>
        <v>0</v>
      </c>
      <c r="R136" s="25">
        <f t="shared" si="15"/>
        <v>1</v>
      </c>
      <c r="S136" s="25">
        <f t="shared" si="16"/>
        <v>0</v>
      </c>
      <c r="T136" s="25">
        <f t="shared" si="17"/>
        <v>0</v>
      </c>
    </row>
    <row r="137" spans="1:20">
      <c r="A137" s="25" t="s">
        <v>55</v>
      </c>
      <c r="B137" s="32">
        <v>45748</v>
      </c>
      <c r="C137" s="25" t="s">
        <v>20</v>
      </c>
      <c r="D137" s="25" t="s">
        <v>18</v>
      </c>
      <c r="E137" s="25">
        <v>70366.759999999995</v>
      </c>
      <c r="F137" s="25">
        <v>1963</v>
      </c>
      <c r="G137" s="25">
        <v>0.182</v>
      </c>
      <c r="H137" s="25">
        <v>8</v>
      </c>
      <c r="I137" s="25">
        <v>89.8</v>
      </c>
      <c r="J137" s="25">
        <v>3.2</v>
      </c>
      <c r="K137" s="25">
        <v>0</v>
      </c>
      <c r="L137" s="25">
        <v>4.5999999999999996</v>
      </c>
      <c r="M137" s="25">
        <v>529075.94999999995</v>
      </c>
      <c r="N137" s="25">
        <v>95978.83</v>
      </c>
      <c r="O137" s="25">
        <f t="shared" si="12"/>
        <v>1</v>
      </c>
      <c r="P137" s="25">
        <f t="shared" si="13"/>
        <v>0</v>
      </c>
      <c r="Q137" s="25">
        <f t="shared" si="14"/>
        <v>0</v>
      </c>
      <c r="R137" s="25">
        <f t="shared" si="15"/>
        <v>1</v>
      </c>
      <c r="S137" s="25">
        <f t="shared" si="16"/>
        <v>0</v>
      </c>
      <c r="T137" s="25">
        <f t="shared" si="17"/>
        <v>0</v>
      </c>
    </row>
    <row r="138" spans="1:20">
      <c r="A138" s="25" t="s">
        <v>56</v>
      </c>
      <c r="B138" s="32">
        <v>45658</v>
      </c>
      <c r="C138" s="25" t="s">
        <v>24</v>
      </c>
      <c r="D138" s="25" t="s">
        <v>16</v>
      </c>
      <c r="E138" s="25">
        <v>71320.66</v>
      </c>
      <c r="F138" s="25">
        <v>7888</v>
      </c>
      <c r="G138" s="25">
        <v>4.8000000000000001E-2</v>
      </c>
      <c r="H138" s="25">
        <v>20</v>
      </c>
      <c r="I138" s="25">
        <v>78.099999999999994</v>
      </c>
      <c r="J138" s="25">
        <v>3.4</v>
      </c>
      <c r="K138" s="25">
        <v>0</v>
      </c>
      <c r="L138" s="25">
        <v>3.92</v>
      </c>
      <c r="M138" s="25">
        <v>633638.03</v>
      </c>
      <c r="N138" s="25">
        <v>99402.01</v>
      </c>
      <c r="O138" s="25">
        <f t="shared" si="12"/>
        <v>0</v>
      </c>
      <c r="P138" s="25">
        <f t="shared" si="13"/>
        <v>1</v>
      </c>
      <c r="Q138" s="25">
        <f t="shared" si="14"/>
        <v>0</v>
      </c>
      <c r="R138" s="25">
        <f t="shared" si="15"/>
        <v>0</v>
      </c>
      <c r="S138" s="25">
        <f t="shared" si="16"/>
        <v>0</v>
      </c>
      <c r="T138" s="25">
        <f t="shared" si="17"/>
        <v>1</v>
      </c>
    </row>
    <row r="139" spans="1:20">
      <c r="A139" s="25" t="s">
        <v>56</v>
      </c>
      <c r="B139" s="32">
        <v>45689</v>
      </c>
      <c r="C139" s="25" t="s">
        <v>24</v>
      </c>
      <c r="D139" s="25" t="s">
        <v>16</v>
      </c>
      <c r="E139" s="25">
        <v>75109.67</v>
      </c>
      <c r="F139" s="25">
        <v>6244</v>
      </c>
      <c r="G139" s="25">
        <v>7.9000000000000001E-2</v>
      </c>
      <c r="H139" s="25">
        <v>15</v>
      </c>
      <c r="I139" s="25">
        <v>96.3</v>
      </c>
      <c r="J139" s="25">
        <v>7.38</v>
      </c>
      <c r="K139" s="25">
        <v>0</v>
      </c>
      <c r="L139" s="25">
        <v>3.7</v>
      </c>
      <c r="M139" s="25">
        <v>743348.84</v>
      </c>
      <c r="N139" s="25">
        <v>104186.09</v>
      </c>
      <c r="O139" s="25">
        <f t="shared" si="12"/>
        <v>0</v>
      </c>
      <c r="P139" s="25">
        <f t="shared" si="13"/>
        <v>1</v>
      </c>
      <c r="Q139" s="25">
        <f t="shared" si="14"/>
        <v>0</v>
      </c>
      <c r="R139" s="25">
        <f t="shared" si="15"/>
        <v>0</v>
      </c>
      <c r="S139" s="25">
        <f t="shared" si="16"/>
        <v>0</v>
      </c>
      <c r="T139" s="25">
        <f t="shared" si="17"/>
        <v>1</v>
      </c>
    </row>
    <row r="140" spans="1:20">
      <c r="A140" s="25" t="s">
        <v>56</v>
      </c>
      <c r="B140" s="32">
        <v>45717</v>
      </c>
      <c r="C140" s="25" t="s">
        <v>24</v>
      </c>
      <c r="D140" s="25" t="s">
        <v>16</v>
      </c>
      <c r="E140" s="25">
        <v>69779</v>
      </c>
      <c r="F140" s="25">
        <v>6544</v>
      </c>
      <c r="G140" s="25">
        <v>0.152</v>
      </c>
      <c r="H140" s="25">
        <v>18</v>
      </c>
      <c r="I140" s="25">
        <v>90.2</v>
      </c>
      <c r="J140" s="25">
        <v>0.85</v>
      </c>
      <c r="K140" s="25">
        <v>1</v>
      </c>
      <c r="L140" s="25">
        <v>3.3</v>
      </c>
      <c r="M140" s="25">
        <v>758827.64</v>
      </c>
      <c r="N140" s="25">
        <v>161439.48000000001</v>
      </c>
      <c r="O140" s="25">
        <f t="shared" si="12"/>
        <v>0</v>
      </c>
      <c r="P140" s="25">
        <f t="shared" si="13"/>
        <v>1</v>
      </c>
      <c r="Q140" s="25">
        <f t="shared" si="14"/>
        <v>0</v>
      </c>
      <c r="R140" s="25">
        <f t="shared" si="15"/>
        <v>0</v>
      </c>
      <c r="S140" s="25">
        <f t="shared" si="16"/>
        <v>0</v>
      </c>
      <c r="T140" s="25">
        <f t="shared" si="17"/>
        <v>1</v>
      </c>
    </row>
    <row r="141" spans="1:20">
      <c r="A141" s="25" t="s">
        <v>56</v>
      </c>
      <c r="B141" s="32">
        <v>45748</v>
      </c>
      <c r="C141" s="25" t="s">
        <v>24</v>
      </c>
      <c r="D141" s="25" t="s">
        <v>16</v>
      </c>
      <c r="E141" s="25">
        <v>44211.95</v>
      </c>
      <c r="F141" s="25">
        <v>5465</v>
      </c>
      <c r="G141" s="25">
        <v>0.187</v>
      </c>
      <c r="H141" s="25">
        <v>12</v>
      </c>
      <c r="I141" s="25">
        <v>90</v>
      </c>
      <c r="J141" s="25">
        <v>2.89</v>
      </c>
      <c r="K141" s="25">
        <v>0</v>
      </c>
      <c r="L141" s="25">
        <v>3.6</v>
      </c>
      <c r="M141" s="25">
        <v>646559.71</v>
      </c>
      <c r="N141" s="25">
        <v>97981.75</v>
      </c>
      <c r="O141" s="25">
        <f t="shared" si="12"/>
        <v>0</v>
      </c>
      <c r="P141" s="25">
        <f t="shared" si="13"/>
        <v>1</v>
      </c>
      <c r="Q141" s="25">
        <f t="shared" si="14"/>
        <v>0</v>
      </c>
      <c r="R141" s="25">
        <f t="shared" si="15"/>
        <v>0</v>
      </c>
      <c r="S141" s="25">
        <f t="shared" si="16"/>
        <v>0</v>
      </c>
      <c r="T141" s="25">
        <f t="shared" si="17"/>
        <v>1</v>
      </c>
    </row>
    <row r="142" spans="1:20">
      <c r="A142" s="25" t="s">
        <v>57</v>
      </c>
      <c r="B142" s="32">
        <v>45658</v>
      </c>
      <c r="C142" s="25" t="s">
        <v>27</v>
      </c>
      <c r="D142" s="25" t="s">
        <v>18</v>
      </c>
      <c r="E142" s="25">
        <v>51430.31</v>
      </c>
      <c r="F142" s="25">
        <v>6427</v>
      </c>
      <c r="G142" s="25">
        <v>0.23400000000000001</v>
      </c>
      <c r="H142" s="25">
        <v>14</v>
      </c>
      <c r="I142" s="25">
        <v>88.8</v>
      </c>
      <c r="J142" s="25">
        <v>0.77</v>
      </c>
      <c r="K142" s="25">
        <v>0</v>
      </c>
      <c r="L142" s="25">
        <v>4.0999999999999996</v>
      </c>
      <c r="M142" s="25">
        <v>715890.53</v>
      </c>
      <c r="N142" s="25">
        <v>109032.15</v>
      </c>
      <c r="O142" s="25">
        <f t="shared" si="12"/>
        <v>0</v>
      </c>
      <c r="P142" s="25">
        <f t="shared" si="13"/>
        <v>0</v>
      </c>
      <c r="Q142" s="25">
        <f t="shared" si="14"/>
        <v>1</v>
      </c>
      <c r="R142" s="25">
        <f t="shared" si="15"/>
        <v>1</v>
      </c>
      <c r="S142" s="25">
        <f t="shared" si="16"/>
        <v>0</v>
      </c>
      <c r="T142" s="25">
        <f t="shared" si="17"/>
        <v>0</v>
      </c>
    </row>
    <row r="143" spans="1:20">
      <c r="A143" s="25" t="s">
        <v>57</v>
      </c>
      <c r="B143" s="32">
        <v>45689</v>
      </c>
      <c r="C143" s="25" t="s">
        <v>27</v>
      </c>
      <c r="D143" s="25" t="s">
        <v>18</v>
      </c>
      <c r="E143" s="25">
        <v>45706.49</v>
      </c>
      <c r="F143" s="25">
        <v>6704</v>
      </c>
      <c r="G143" s="25">
        <v>3.7999999999999999E-2</v>
      </c>
      <c r="H143" s="25">
        <v>15</v>
      </c>
      <c r="I143" s="25">
        <v>94.2</v>
      </c>
      <c r="J143" s="25">
        <v>2.92</v>
      </c>
      <c r="K143" s="25">
        <v>0</v>
      </c>
      <c r="L143" s="25">
        <v>4.2</v>
      </c>
      <c r="M143" s="25">
        <v>715097.57</v>
      </c>
      <c r="N143" s="25">
        <v>151875.85999999999</v>
      </c>
      <c r="O143" s="25">
        <f t="shared" si="12"/>
        <v>0</v>
      </c>
      <c r="P143" s="25">
        <f t="shared" si="13"/>
        <v>0</v>
      </c>
      <c r="Q143" s="25">
        <f t="shared" si="14"/>
        <v>1</v>
      </c>
      <c r="R143" s="25">
        <f t="shared" si="15"/>
        <v>1</v>
      </c>
      <c r="S143" s="25">
        <f t="shared" si="16"/>
        <v>0</v>
      </c>
      <c r="T143" s="25">
        <f t="shared" si="17"/>
        <v>0</v>
      </c>
    </row>
    <row r="144" spans="1:20">
      <c r="A144" s="25" t="s">
        <v>57</v>
      </c>
      <c r="B144" s="32">
        <v>45717</v>
      </c>
      <c r="C144" s="25" t="s">
        <v>27</v>
      </c>
      <c r="D144" s="25" t="s">
        <v>18</v>
      </c>
      <c r="E144" s="25">
        <v>44034.6</v>
      </c>
      <c r="F144" s="25">
        <v>5645</v>
      </c>
      <c r="G144" s="25">
        <v>6.9000000000000006E-2</v>
      </c>
      <c r="H144" s="25">
        <v>18</v>
      </c>
      <c r="I144" s="25">
        <v>88.5</v>
      </c>
      <c r="J144" s="25">
        <v>3.07</v>
      </c>
      <c r="K144" s="25">
        <v>0</v>
      </c>
      <c r="L144" s="25">
        <v>3.8</v>
      </c>
      <c r="M144" s="25">
        <v>682639.28</v>
      </c>
      <c r="N144" s="25">
        <v>77557.53</v>
      </c>
      <c r="O144" s="25">
        <f t="shared" si="12"/>
        <v>0</v>
      </c>
      <c r="P144" s="25">
        <f t="shared" si="13"/>
        <v>0</v>
      </c>
      <c r="Q144" s="25">
        <f t="shared" si="14"/>
        <v>1</v>
      </c>
      <c r="R144" s="25">
        <f t="shared" si="15"/>
        <v>1</v>
      </c>
      <c r="S144" s="25">
        <f t="shared" si="16"/>
        <v>0</v>
      </c>
      <c r="T144" s="25">
        <f t="shared" si="17"/>
        <v>0</v>
      </c>
    </row>
    <row r="145" spans="1:20">
      <c r="A145" s="25" t="s">
        <v>57</v>
      </c>
      <c r="B145" s="32">
        <v>45748</v>
      </c>
      <c r="C145" s="25" t="s">
        <v>27</v>
      </c>
      <c r="D145" s="25" t="s">
        <v>18</v>
      </c>
      <c r="E145" s="25">
        <v>50198.12</v>
      </c>
      <c r="F145" s="25">
        <v>6089</v>
      </c>
      <c r="G145" s="25">
        <v>0.182</v>
      </c>
      <c r="H145" s="25">
        <v>19</v>
      </c>
      <c r="I145" s="25">
        <v>94</v>
      </c>
      <c r="J145" s="25">
        <v>9.6999999999999993</v>
      </c>
      <c r="K145" s="25">
        <v>0</v>
      </c>
      <c r="L145" s="25">
        <v>3.9</v>
      </c>
      <c r="M145" s="25">
        <v>695098.51</v>
      </c>
      <c r="N145" s="25">
        <v>108192.75</v>
      </c>
      <c r="O145" s="25">
        <f t="shared" si="12"/>
        <v>0</v>
      </c>
      <c r="P145" s="25">
        <f t="shared" si="13"/>
        <v>0</v>
      </c>
      <c r="Q145" s="25">
        <f t="shared" si="14"/>
        <v>1</v>
      </c>
      <c r="R145" s="25">
        <f t="shared" si="15"/>
        <v>1</v>
      </c>
      <c r="S145" s="25">
        <f t="shared" si="16"/>
        <v>0</v>
      </c>
      <c r="T145" s="25">
        <f t="shared" si="17"/>
        <v>0</v>
      </c>
    </row>
    <row r="146" spans="1:20">
      <c r="A146" s="25" t="s">
        <v>58</v>
      </c>
      <c r="B146" s="32">
        <v>45658</v>
      </c>
      <c r="C146" s="25" t="s">
        <v>20</v>
      </c>
      <c r="D146" s="25" t="s">
        <v>16</v>
      </c>
      <c r="E146" s="25">
        <v>70488.2</v>
      </c>
      <c r="F146" s="25">
        <v>4312</v>
      </c>
      <c r="G146" s="25">
        <v>0.16900000000000001</v>
      </c>
      <c r="H146" s="25">
        <v>12</v>
      </c>
      <c r="I146" s="25">
        <v>90.2</v>
      </c>
      <c r="J146" s="25">
        <v>3.71</v>
      </c>
      <c r="K146" s="25">
        <v>0</v>
      </c>
      <c r="L146" s="25">
        <v>3.2</v>
      </c>
      <c r="M146" s="25">
        <v>577732.56999999995</v>
      </c>
      <c r="N146" s="25">
        <v>93804.27</v>
      </c>
      <c r="O146" s="25">
        <f t="shared" si="12"/>
        <v>1</v>
      </c>
      <c r="P146" s="25">
        <f t="shared" si="13"/>
        <v>0</v>
      </c>
      <c r="Q146" s="25">
        <f t="shared" si="14"/>
        <v>0</v>
      </c>
      <c r="R146" s="25">
        <f t="shared" si="15"/>
        <v>0</v>
      </c>
      <c r="S146" s="25">
        <f t="shared" si="16"/>
        <v>0</v>
      </c>
      <c r="T146" s="25">
        <f t="shared" si="17"/>
        <v>1</v>
      </c>
    </row>
    <row r="147" spans="1:20">
      <c r="A147" s="25" t="s">
        <v>58</v>
      </c>
      <c r="B147" s="32">
        <v>45689</v>
      </c>
      <c r="C147" s="25" t="s">
        <v>20</v>
      </c>
      <c r="D147" s="25" t="s">
        <v>16</v>
      </c>
      <c r="E147" s="25">
        <v>50909.27</v>
      </c>
      <c r="F147" s="25">
        <v>3152</v>
      </c>
      <c r="G147" s="25">
        <v>0.06</v>
      </c>
      <c r="H147" s="25">
        <v>13</v>
      </c>
      <c r="I147" s="25">
        <v>93.7</v>
      </c>
      <c r="J147" s="25">
        <v>10.79</v>
      </c>
      <c r="K147" s="25">
        <v>0</v>
      </c>
      <c r="L147" s="25">
        <v>3.5</v>
      </c>
      <c r="M147" s="25">
        <v>537058.32999999996</v>
      </c>
      <c r="N147" s="25">
        <v>93555.71</v>
      </c>
      <c r="O147" s="25">
        <f t="shared" si="12"/>
        <v>1</v>
      </c>
      <c r="P147" s="25">
        <f t="shared" si="13"/>
        <v>0</v>
      </c>
      <c r="Q147" s="25">
        <f t="shared" si="14"/>
        <v>0</v>
      </c>
      <c r="R147" s="25">
        <f t="shared" si="15"/>
        <v>0</v>
      </c>
      <c r="S147" s="25">
        <f t="shared" si="16"/>
        <v>0</v>
      </c>
      <c r="T147" s="25">
        <f t="shared" si="17"/>
        <v>1</v>
      </c>
    </row>
    <row r="148" spans="1:20">
      <c r="A148" s="25" t="s">
        <v>58</v>
      </c>
      <c r="B148" s="32">
        <v>45717</v>
      </c>
      <c r="C148" s="25" t="s">
        <v>20</v>
      </c>
      <c r="D148" s="25" t="s">
        <v>16</v>
      </c>
      <c r="E148" s="25">
        <v>53351.7</v>
      </c>
      <c r="F148" s="25">
        <v>4259</v>
      </c>
      <c r="G148" s="25">
        <v>0.156</v>
      </c>
      <c r="H148" s="25">
        <v>15</v>
      </c>
      <c r="I148" s="25">
        <v>93.7</v>
      </c>
      <c r="J148" s="25">
        <v>6.03</v>
      </c>
      <c r="K148" s="25">
        <v>0</v>
      </c>
      <c r="L148" s="25">
        <v>3.4</v>
      </c>
      <c r="M148" s="25">
        <v>601568.87</v>
      </c>
      <c r="N148" s="25">
        <v>91634.82</v>
      </c>
      <c r="O148" s="25">
        <f t="shared" si="12"/>
        <v>1</v>
      </c>
      <c r="P148" s="25">
        <f t="shared" si="13"/>
        <v>0</v>
      </c>
      <c r="Q148" s="25">
        <f t="shared" si="14"/>
        <v>0</v>
      </c>
      <c r="R148" s="25">
        <f t="shared" si="15"/>
        <v>0</v>
      </c>
      <c r="S148" s="25">
        <f t="shared" si="16"/>
        <v>0</v>
      </c>
      <c r="T148" s="25">
        <f t="shared" si="17"/>
        <v>1</v>
      </c>
    </row>
    <row r="149" spans="1:20">
      <c r="A149" s="25" t="s">
        <v>58</v>
      </c>
      <c r="B149" s="32">
        <v>45748</v>
      </c>
      <c r="C149" s="25" t="s">
        <v>20</v>
      </c>
      <c r="D149" s="25" t="s">
        <v>16</v>
      </c>
      <c r="E149" s="25">
        <v>60322.400000000001</v>
      </c>
      <c r="F149" s="25">
        <v>3350</v>
      </c>
      <c r="G149" s="25">
        <v>0.108</v>
      </c>
      <c r="H149" s="25">
        <v>12</v>
      </c>
      <c r="I149" s="25">
        <v>89.4</v>
      </c>
      <c r="J149" s="25">
        <v>4.92</v>
      </c>
      <c r="K149" s="25">
        <v>0</v>
      </c>
      <c r="L149" s="25">
        <v>3.4</v>
      </c>
      <c r="M149" s="25">
        <v>570964.84</v>
      </c>
      <c r="N149" s="25">
        <v>81331.070000000007</v>
      </c>
      <c r="O149" s="25">
        <f t="shared" si="12"/>
        <v>1</v>
      </c>
      <c r="P149" s="25">
        <f t="shared" si="13"/>
        <v>0</v>
      </c>
      <c r="Q149" s="25">
        <f t="shared" si="14"/>
        <v>0</v>
      </c>
      <c r="R149" s="25">
        <f t="shared" si="15"/>
        <v>0</v>
      </c>
      <c r="S149" s="25">
        <f t="shared" si="16"/>
        <v>0</v>
      </c>
      <c r="T149" s="25">
        <f t="shared" si="17"/>
        <v>1</v>
      </c>
    </row>
    <row r="150" spans="1:20">
      <c r="A150" s="25" t="s">
        <v>59</v>
      </c>
      <c r="B150" s="32">
        <v>45658</v>
      </c>
      <c r="C150" s="25" t="s">
        <v>24</v>
      </c>
      <c r="D150" s="25" t="s">
        <v>28</v>
      </c>
      <c r="E150" s="25">
        <v>51575.68</v>
      </c>
      <c r="F150" s="25">
        <v>5329</v>
      </c>
      <c r="G150" s="25">
        <v>4.7E-2</v>
      </c>
      <c r="H150" s="25">
        <v>17</v>
      </c>
      <c r="I150" s="25">
        <v>88.1</v>
      </c>
      <c r="J150" s="25">
        <v>19.78</v>
      </c>
      <c r="K150" s="25">
        <v>0</v>
      </c>
      <c r="L150" s="25">
        <v>3.8</v>
      </c>
      <c r="M150" s="25">
        <v>614024.91</v>
      </c>
      <c r="N150" s="25">
        <v>84828.93</v>
      </c>
      <c r="O150" s="25">
        <f t="shared" si="12"/>
        <v>0</v>
      </c>
      <c r="P150" s="25">
        <f t="shared" si="13"/>
        <v>1</v>
      </c>
      <c r="Q150" s="25">
        <f t="shared" si="14"/>
        <v>0</v>
      </c>
      <c r="R150" s="25">
        <f t="shared" si="15"/>
        <v>0</v>
      </c>
      <c r="S150" s="25">
        <f t="shared" si="16"/>
        <v>1</v>
      </c>
      <c r="T150" s="25">
        <f t="shared" si="17"/>
        <v>0</v>
      </c>
    </row>
    <row r="151" spans="1:20">
      <c r="A151" s="25" t="s">
        <v>59</v>
      </c>
      <c r="B151" s="32">
        <v>45689</v>
      </c>
      <c r="C151" s="25" t="s">
        <v>24</v>
      </c>
      <c r="D151" s="25" t="s">
        <v>28</v>
      </c>
      <c r="E151" s="25">
        <v>43319.94</v>
      </c>
      <c r="F151" s="25">
        <v>6551</v>
      </c>
      <c r="G151" s="25">
        <v>4.3999999999999997E-2</v>
      </c>
      <c r="H151" s="25">
        <v>13</v>
      </c>
      <c r="I151" s="25">
        <v>99</v>
      </c>
      <c r="J151" s="25">
        <v>5.45</v>
      </c>
      <c r="K151" s="25">
        <v>0</v>
      </c>
      <c r="L151" s="25">
        <v>4.0999999999999996</v>
      </c>
      <c r="M151" s="25">
        <v>712868.35</v>
      </c>
      <c r="N151" s="25">
        <v>133650.51</v>
      </c>
      <c r="O151" s="25">
        <f t="shared" si="12"/>
        <v>0</v>
      </c>
      <c r="P151" s="25">
        <f t="shared" si="13"/>
        <v>1</v>
      </c>
      <c r="Q151" s="25">
        <f t="shared" si="14"/>
        <v>0</v>
      </c>
      <c r="R151" s="25">
        <f t="shared" si="15"/>
        <v>0</v>
      </c>
      <c r="S151" s="25">
        <f t="shared" si="16"/>
        <v>1</v>
      </c>
      <c r="T151" s="25">
        <f t="shared" si="17"/>
        <v>0</v>
      </c>
    </row>
    <row r="152" spans="1:20">
      <c r="A152" s="25" t="s">
        <v>59</v>
      </c>
      <c r="B152" s="32">
        <v>45717</v>
      </c>
      <c r="C152" s="25" t="s">
        <v>24</v>
      </c>
      <c r="D152" s="25" t="s">
        <v>28</v>
      </c>
      <c r="E152" s="25">
        <v>47093.55</v>
      </c>
      <c r="F152" s="25">
        <v>5550</v>
      </c>
      <c r="G152" s="25">
        <v>0.1</v>
      </c>
      <c r="H152" s="25">
        <v>12</v>
      </c>
      <c r="I152" s="25">
        <v>95</v>
      </c>
      <c r="J152" s="25">
        <v>2.33</v>
      </c>
      <c r="K152" s="25">
        <v>1</v>
      </c>
      <c r="L152" s="25">
        <v>3.7</v>
      </c>
      <c r="M152" s="25">
        <v>696744.15</v>
      </c>
      <c r="N152" s="25">
        <v>152230.09</v>
      </c>
      <c r="O152" s="25">
        <f t="shared" si="12"/>
        <v>0</v>
      </c>
      <c r="P152" s="25">
        <f t="shared" si="13"/>
        <v>1</v>
      </c>
      <c r="Q152" s="25">
        <f t="shared" si="14"/>
        <v>0</v>
      </c>
      <c r="R152" s="25">
        <f t="shared" si="15"/>
        <v>0</v>
      </c>
      <c r="S152" s="25">
        <f t="shared" si="16"/>
        <v>1</v>
      </c>
      <c r="T152" s="25">
        <f t="shared" si="17"/>
        <v>0</v>
      </c>
    </row>
    <row r="153" spans="1:20">
      <c r="A153" s="25" t="s">
        <v>59</v>
      </c>
      <c r="B153" s="32">
        <v>45748</v>
      </c>
      <c r="C153" s="25" t="s">
        <v>24</v>
      </c>
      <c r="D153" s="25" t="s">
        <v>28</v>
      </c>
      <c r="E153" s="25">
        <v>71855.09</v>
      </c>
      <c r="F153" s="25">
        <v>5911</v>
      </c>
      <c r="G153" s="25">
        <v>0.19700000000000001</v>
      </c>
      <c r="H153" s="25">
        <v>15</v>
      </c>
      <c r="I153" s="25">
        <v>94.3</v>
      </c>
      <c r="J153" s="25">
        <v>3.55</v>
      </c>
      <c r="K153" s="25">
        <v>0</v>
      </c>
      <c r="L153" s="25">
        <v>4.0999999999999996</v>
      </c>
      <c r="M153" s="25">
        <v>725847.99</v>
      </c>
      <c r="N153" s="25">
        <v>122698.73</v>
      </c>
      <c r="O153" s="25">
        <f t="shared" si="12"/>
        <v>0</v>
      </c>
      <c r="P153" s="25">
        <f t="shared" si="13"/>
        <v>1</v>
      </c>
      <c r="Q153" s="25">
        <f t="shared" si="14"/>
        <v>0</v>
      </c>
      <c r="R153" s="25">
        <f t="shared" si="15"/>
        <v>0</v>
      </c>
      <c r="S153" s="25">
        <f t="shared" si="16"/>
        <v>1</v>
      </c>
      <c r="T153" s="25">
        <f t="shared" si="17"/>
        <v>0</v>
      </c>
    </row>
    <row r="154" spans="1:20">
      <c r="A154" s="25" t="s">
        <v>60</v>
      </c>
      <c r="B154" s="32">
        <v>45658</v>
      </c>
      <c r="C154" s="25" t="s">
        <v>15</v>
      </c>
      <c r="D154" s="25" t="s">
        <v>18</v>
      </c>
      <c r="E154" s="25">
        <v>75645.23</v>
      </c>
      <c r="F154" s="25">
        <v>9674</v>
      </c>
      <c r="G154" s="25">
        <v>0.23400000000000001</v>
      </c>
      <c r="H154" s="25">
        <v>21</v>
      </c>
      <c r="I154" s="25">
        <v>87.4</v>
      </c>
      <c r="J154" s="25">
        <v>0.2</v>
      </c>
      <c r="K154" s="25">
        <v>0</v>
      </c>
      <c r="L154" s="25">
        <v>4.5</v>
      </c>
      <c r="M154" s="25">
        <v>785028.25</v>
      </c>
      <c r="N154" s="25">
        <v>110726.44</v>
      </c>
      <c r="O154" s="25">
        <f t="shared" si="12"/>
        <v>0</v>
      </c>
      <c r="P154" s="25">
        <f t="shared" si="13"/>
        <v>0</v>
      </c>
      <c r="Q154" s="25">
        <f t="shared" si="14"/>
        <v>0</v>
      </c>
      <c r="R154" s="25">
        <f t="shared" si="15"/>
        <v>1</v>
      </c>
      <c r="S154" s="25">
        <f t="shared" si="16"/>
        <v>0</v>
      </c>
      <c r="T154" s="25">
        <f t="shared" si="17"/>
        <v>0</v>
      </c>
    </row>
    <row r="155" spans="1:20">
      <c r="A155" s="25" t="s">
        <v>60</v>
      </c>
      <c r="B155" s="32">
        <v>45689</v>
      </c>
      <c r="C155" s="25" t="s">
        <v>15</v>
      </c>
      <c r="D155" s="25" t="s">
        <v>18</v>
      </c>
      <c r="E155" s="25">
        <v>64374.75</v>
      </c>
      <c r="F155" s="25">
        <v>6740</v>
      </c>
      <c r="G155" s="25">
        <v>0.16900000000000001</v>
      </c>
      <c r="H155" s="25">
        <v>18</v>
      </c>
      <c r="I155" s="25">
        <v>87</v>
      </c>
      <c r="J155" s="25">
        <v>2.09</v>
      </c>
      <c r="K155" s="25">
        <v>0</v>
      </c>
      <c r="L155" s="25">
        <v>4.2</v>
      </c>
      <c r="M155" s="25">
        <v>698492.67</v>
      </c>
      <c r="N155" s="25">
        <v>117319.32</v>
      </c>
      <c r="O155" s="25">
        <f t="shared" si="12"/>
        <v>0</v>
      </c>
      <c r="P155" s="25">
        <f t="shared" si="13"/>
        <v>0</v>
      </c>
      <c r="Q155" s="25">
        <f t="shared" si="14"/>
        <v>0</v>
      </c>
      <c r="R155" s="25">
        <f t="shared" si="15"/>
        <v>1</v>
      </c>
      <c r="S155" s="25">
        <f t="shared" si="16"/>
        <v>0</v>
      </c>
      <c r="T155" s="25">
        <f t="shared" si="17"/>
        <v>0</v>
      </c>
    </row>
    <row r="156" spans="1:20">
      <c r="A156" s="25" t="s">
        <v>60</v>
      </c>
      <c r="B156" s="32">
        <v>45717</v>
      </c>
      <c r="C156" s="25" t="s">
        <v>15</v>
      </c>
      <c r="D156" s="25" t="s">
        <v>18</v>
      </c>
      <c r="E156" s="25">
        <v>61433.84</v>
      </c>
      <c r="F156" s="25">
        <v>7745</v>
      </c>
      <c r="G156" s="25">
        <v>0.18</v>
      </c>
      <c r="H156" s="25">
        <v>16</v>
      </c>
      <c r="I156" s="25">
        <v>90.5</v>
      </c>
      <c r="J156" s="25">
        <v>2.2599999999999998</v>
      </c>
      <c r="K156" s="25">
        <v>0</v>
      </c>
      <c r="L156" s="25">
        <v>4.2</v>
      </c>
      <c r="M156" s="25">
        <v>685830.24</v>
      </c>
      <c r="N156" s="25">
        <v>128736.18</v>
      </c>
      <c r="O156" s="25">
        <f t="shared" si="12"/>
        <v>0</v>
      </c>
      <c r="P156" s="25">
        <f t="shared" si="13"/>
        <v>0</v>
      </c>
      <c r="Q156" s="25">
        <f t="shared" si="14"/>
        <v>0</v>
      </c>
      <c r="R156" s="25">
        <f t="shared" si="15"/>
        <v>1</v>
      </c>
      <c r="S156" s="25">
        <f t="shared" si="16"/>
        <v>0</v>
      </c>
      <c r="T156" s="25">
        <f t="shared" si="17"/>
        <v>0</v>
      </c>
    </row>
    <row r="157" spans="1:20">
      <c r="A157" s="25" t="s">
        <v>60</v>
      </c>
      <c r="B157" s="32">
        <v>45748</v>
      </c>
      <c r="C157" s="25" t="s">
        <v>15</v>
      </c>
      <c r="D157" s="25" t="s">
        <v>18</v>
      </c>
      <c r="E157" s="25">
        <v>42698.14</v>
      </c>
      <c r="F157" s="25">
        <v>7693</v>
      </c>
      <c r="G157" s="25">
        <v>0.187</v>
      </c>
      <c r="H157" s="25">
        <v>19</v>
      </c>
      <c r="I157" s="25">
        <v>90.1</v>
      </c>
      <c r="J157" s="25">
        <v>0.44</v>
      </c>
      <c r="K157" s="25">
        <v>0</v>
      </c>
      <c r="L157" s="25">
        <v>4.4000000000000004</v>
      </c>
      <c r="M157" s="25">
        <v>702318.94</v>
      </c>
      <c r="N157" s="25">
        <v>112829.29</v>
      </c>
      <c r="O157" s="25">
        <f t="shared" si="12"/>
        <v>0</v>
      </c>
      <c r="P157" s="25">
        <f t="shared" si="13"/>
        <v>0</v>
      </c>
      <c r="Q157" s="25">
        <f t="shared" si="14"/>
        <v>0</v>
      </c>
      <c r="R157" s="25">
        <f t="shared" si="15"/>
        <v>1</v>
      </c>
      <c r="S157" s="25">
        <f t="shared" si="16"/>
        <v>0</v>
      </c>
      <c r="T157" s="25">
        <f t="shared" si="17"/>
        <v>0</v>
      </c>
    </row>
    <row r="158" spans="1:20">
      <c r="A158" s="25" t="s">
        <v>61</v>
      </c>
      <c r="B158" s="32">
        <v>45658</v>
      </c>
      <c r="C158" s="25" t="s">
        <v>20</v>
      </c>
      <c r="D158" s="25" t="s">
        <v>28</v>
      </c>
      <c r="E158" s="25">
        <v>86883.31</v>
      </c>
      <c r="F158" s="25">
        <v>6424</v>
      </c>
      <c r="G158" s="25">
        <v>5.7000000000000002E-2</v>
      </c>
      <c r="H158" s="25">
        <v>19</v>
      </c>
      <c r="I158" s="25">
        <v>85.2</v>
      </c>
      <c r="J158" s="25">
        <v>3.08</v>
      </c>
      <c r="K158" s="25">
        <v>0</v>
      </c>
      <c r="L158" s="25">
        <v>3.9</v>
      </c>
      <c r="M158" s="25">
        <v>700078.32</v>
      </c>
      <c r="N158" s="25">
        <v>123707.58</v>
      </c>
      <c r="O158" s="25">
        <f t="shared" si="12"/>
        <v>1</v>
      </c>
      <c r="P158" s="25">
        <f t="shared" si="13"/>
        <v>0</v>
      </c>
      <c r="Q158" s="25">
        <f t="shared" si="14"/>
        <v>0</v>
      </c>
      <c r="R158" s="25">
        <f t="shared" si="15"/>
        <v>0</v>
      </c>
      <c r="S158" s="25">
        <f t="shared" si="16"/>
        <v>1</v>
      </c>
      <c r="T158" s="25">
        <f t="shared" si="17"/>
        <v>0</v>
      </c>
    </row>
    <row r="159" spans="1:20">
      <c r="A159" s="25" t="s">
        <v>61</v>
      </c>
      <c r="B159" s="32">
        <v>45689</v>
      </c>
      <c r="C159" s="25" t="s">
        <v>20</v>
      </c>
      <c r="D159" s="25" t="s">
        <v>28</v>
      </c>
      <c r="E159" s="25">
        <v>41863.08</v>
      </c>
      <c r="F159" s="25">
        <v>5400</v>
      </c>
      <c r="G159" s="25">
        <v>0.114</v>
      </c>
      <c r="H159" s="25">
        <v>11</v>
      </c>
      <c r="I159" s="25">
        <v>91.6</v>
      </c>
      <c r="J159" s="25">
        <v>7.99</v>
      </c>
      <c r="K159" s="25">
        <v>0</v>
      </c>
      <c r="L159" s="25">
        <v>3</v>
      </c>
      <c r="M159" s="25">
        <v>602002.31999999995</v>
      </c>
      <c r="N159" s="25">
        <v>110453.28</v>
      </c>
      <c r="O159" s="25">
        <f t="shared" si="12"/>
        <v>1</v>
      </c>
      <c r="P159" s="25">
        <f t="shared" si="13"/>
        <v>0</v>
      </c>
      <c r="Q159" s="25">
        <f t="shared" si="14"/>
        <v>0</v>
      </c>
      <c r="R159" s="25">
        <f t="shared" si="15"/>
        <v>0</v>
      </c>
      <c r="S159" s="25">
        <f t="shared" si="16"/>
        <v>1</v>
      </c>
      <c r="T159" s="25">
        <f t="shared" si="17"/>
        <v>0</v>
      </c>
    </row>
    <row r="160" spans="1:20">
      <c r="A160" s="25" t="s">
        <v>61</v>
      </c>
      <c r="B160" s="32">
        <v>45717</v>
      </c>
      <c r="C160" s="25" t="s">
        <v>20</v>
      </c>
      <c r="D160" s="25" t="s">
        <v>28</v>
      </c>
      <c r="E160" s="25">
        <v>56918.16</v>
      </c>
      <c r="F160" s="25">
        <v>7015</v>
      </c>
      <c r="G160" s="25">
        <v>0.158</v>
      </c>
      <c r="H160" s="25">
        <v>18</v>
      </c>
      <c r="I160" s="25">
        <v>74.2</v>
      </c>
      <c r="J160" s="25">
        <v>0.2</v>
      </c>
      <c r="K160" s="25">
        <v>0</v>
      </c>
      <c r="L160" s="25">
        <v>3.4</v>
      </c>
      <c r="M160" s="25">
        <v>724216.07</v>
      </c>
      <c r="N160" s="25">
        <v>100627.56</v>
      </c>
      <c r="O160" s="25">
        <f t="shared" si="12"/>
        <v>1</v>
      </c>
      <c r="P160" s="25">
        <f t="shared" si="13"/>
        <v>0</v>
      </c>
      <c r="Q160" s="25">
        <f t="shared" si="14"/>
        <v>0</v>
      </c>
      <c r="R160" s="25">
        <f t="shared" si="15"/>
        <v>0</v>
      </c>
      <c r="S160" s="25">
        <f t="shared" si="16"/>
        <v>1</v>
      </c>
      <c r="T160" s="25">
        <f t="shared" si="17"/>
        <v>0</v>
      </c>
    </row>
    <row r="161" spans="1:20">
      <c r="A161" s="25" t="s">
        <v>61</v>
      </c>
      <c r="B161" s="32">
        <v>45748</v>
      </c>
      <c r="C161" s="25" t="s">
        <v>20</v>
      </c>
      <c r="D161" s="25" t="s">
        <v>28</v>
      </c>
      <c r="E161" s="25">
        <v>23254.57</v>
      </c>
      <c r="F161" s="25">
        <v>3847</v>
      </c>
      <c r="G161" s="25">
        <v>0.159</v>
      </c>
      <c r="H161" s="25">
        <v>12</v>
      </c>
      <c r="I161" s="25">
        <v>93</v>
      </c>
      <c r="J161" s="25">
        <v>5.46</v>
      </c>
      <c r="K161" s="25">
        <v>0</v>
      </c>
      <c r="L161" s="25">
        <v>3.3</v>
      </c>
      <c r="M161" s="25">
        <v>620973.03</v>
      </c>
      <c r="N161" s="25">
        <v>72303.850000000006</v>
      </c>
      <c r="O161" s="25">
        <f t="shared" si="12"/>
        <v>1</v>
      </c>
      <c r="P161" s="25">
        <f t="shared" si="13"/>
        <v>0</v>
      </c>
      <c r="Q161" s="25">
        <f t="shared" si="14"/>
        <v>0</v>
      </c>
      <c r="R161" s="25">
        <f t="shared" si="15"/>
        <v>0</v>
      </c>
      <c r="S161" s="25">
        <f t="shared" si="16"/>
        <v>1</v>
      </c>
      <c r="T161" s="25">
        <f t="shared" si="17"/>
        <v>0</v>
      </c>
    </row>
    <row r="162" spans="1:20">
      <c r="A162" s="25" t="s">
        <v>62</v>
      </c>
      <c r="B162" s="32">
        <v>45658</v>
      </c>
      <c r="C162" s="25" t="s">
        <v>24</v>
      </c>
      <c r="D162" s="25" t="s">
        <v>18</v>
      </c>
      <c r="E162" s="25">
        <v>41443.410000000003</v>
      </c>
      <c r="F162" s="25">
        <v>7455</v>
      </c>
      <c r="G162" s="25">
        <v>0.17499999999999999</v>
      </c>
      <c r="H162" s="25">
        <v>16</v>
      </c>
      <c r="I162" s="25">
        <v>90.1</v>
      </c>
      <c r="J162" s="25">
        <v>4.05</v>
      </c>
      <c r="K162" s="25">
        <v>0</v>
      </c>
      <c r="L162" s="25">
        <v>4</v>
      </c>
      <c r="M162" s="25">
        <v>650480.06000000006</v>
      </c>
      <c r="N162" s="25">
        <v>109012.07</v>
      </c>
      <c r="O162" s="25">
        <f t="shared" si="12"/>
        <v>0</v>
      </c>
      <c r="P162" s="25">
        <f t="shared" si="13"/>
        <v>1</v>
      </c>
      <c r="Q162" s="25">
        <f t="shared" si="14"/>
        <v>0</v>
      </c>
      <c r="R162" s="25">
        <f t="shared" si="15"/>
        <v>1</v>
      </c>
      <c r="S162" s="25">
        <f t="shared" si="16"/>
        <v>0</v>
      </c>
      <c r="T162" s="25">
        <f t="shared" si="17"/>
        <v>0</v>
      </c>
    </row>
    <row r="163" spans="1:20">
      <c r="A163" s="25" t="s">
        <v>62</v>
      </c>
      <c r="B163" s="32">
        <v>45689</v>
      </c>
      <c r="C163" s="25" t="s">
        <v>24</v>
      </c>
      <c r="D163" s="25" t="s">
        <v>18</v>
      </c>
      <c r="E163" s="25">
        <v>48438.85</v>
      </c>
      <c r="F163" s="25">
        <v>6992</v>
      </c>
      <c r="G163" s="25">
        <v>3.4000000000000002E-2</v>
      </c>
      <c r="H163" s="25">
        <v>20</v>
      </c>
      <c r="I163" s="25">
        <v>91</v>
      </c>
      <c r="J163" s="25">
        <v>4.3600000000000003</v>
      </c>
      <c r="K163" s="25">
        <v>0</v>
      </c>
      <c r="L163" s="25">
        <v>4.2</v>
      </c>
      <c r="M163" s="25">
        <v>778298.88</v>
      </c>
      <c r="N163" s="25">
        <v>130076.72</v>
      </c>
      <c r="O163" s="25">
        <f t="shared" si="12"/>
        <v>0</v>
      </c>
      <c r="P163" s="25">
        <f t="shared" si="13"/>
        <v>1</v>
      </c>
      <c r="Q163" s="25">
        <f t="shared" si="14"/>
        <v>0</v>
      </c>
      <c r="R163" s="25">
        <f t="shared" si="15"/>
        <v>1</v>
      </c>
      <c r="S163" s="25">
        <f t="shared" si="16"/>
        <v>0</v>
      </c>
      <c r="T163" s="25">
        <f t="shared" si="17"/>
        <v>0</v>
      </c>
    </row>
    <row r="164" spans="1:20">
      <c r="A164" s="25" t="s">
        <v>62</v>
      </c>
      <c r="B164" s="32">
        <v>45717</v>
      </c>
      <c r="C164" s="25" t="s">
        <v>24</v>
      </c>
      <c r="D164" s="25" t="s">
        <v>18</v>
      </c>
      <c r="E164" s="25">
        <v>57143.3</v>
      </c>
      <c r="F164" s="25">
        <v>8038</v>
      </c>
      <c r="G164" s="25">
        <v>0.193</v>
      </c>
      <c r="H164" s="25">
        <v>17</v>
      </c>
      <c r="I164" s="25">
        <v>72.599999999999994</v>
      </c>
      <c r="J164" s="25">
        <v>4.5599999999999996</v>
      </c>
      <c r="K164" s="25">
        <v>0</v>
      </c>
      <c r="L164" s="25">
        <v>4.2</v>
      </c>
      <c r="M164" s="25">
        <v>677096.71</v>
      </c>
      <c r="N164" s="25">
        <v>97174.11</v>
      </c>
      <c r="O164" s="25">
        <f t="shared" si="12"/>
        <v>0</v>
      </c>
      <c r="P164" s="25">
        <f t="shared" si="13"/>
        <v>1</v>
      </c>
      <c r="Q164" s="25">
        <f t="shared" si="14"/>
        <v>0</v>
      </c>
      <c r="R164" s="25">
        <f t="shared" si="15"/>
        <v>1</v>
      </c>
      <c r="S164" s="25">
        <f t="shared" si="16"/>
        <v>0</v>
      </c>
      <c r="T164" s="25">
        <f t="shared" si="17"/>
        <v>0</v>
      </c>
    </row>
    <row r="165" spans="1:20">
      <c r="A165" s="25" t="s">
        <v>62</v>
      </c>
      <c r="B165" s="32">
        <v>45748</v>
      </c>
      <c r="C165" s="25" t="s">
        <v>24</v>
      </c>
      <c r="D165" s="25" t="s">
        <v>18</v>
      </c>
      <c r="E165" s="25">
        <v>66870.62</v>
      </c>
      <c r="F165" s="25">
        <v>6055</v>
      </c>
      <c r="G165" s="25">
        <v>7.4999999999999997E-2</v>
      </c>
      <c r="H165" s="25">
        <v>19</v>
      </c>
      <c r="I165" s="25">
        <v>93.8</v>
      </c>
      <c r="J165" s="25">
        <v>0.54</v>
      </c>
      <c r="K165" s="25">
        <v>0</v>
      </c>
      <c r="L165" s="25">
        <v>4.3</v>
      </c>
      <c r="M165" s="25">
        <v>692008.64</v>
      </c>
      <c r="N165" s="25">
        <v>116337.87</v>
      </c>
      <c r="O165" s="25">
        <f t="shared" si="12"/>
        <v>0</v>
      </c>
      <c r="P165" s="25">
        <f t="shared" si="13"/>
        <v>1</v>
      </c>
      <c r="Q165" s="25">
        <f t="shared" si="14"/>
        <v>0</v>
      </c>
      <c r="R165" s="25">
        <f t="shared" si="15"/>
        <v>1</v>
      </c>
      <c r="S165" s="25">
        <f t="shared" si="16"/>
        <v>0</v>
      </c>
      <c r="T165" s="25">
        <f t="shared" si="17"/>
        <v>0</v>
      </c>
    </row>
    <row r="166" spans="1:20">
      <c r="A166" s="25" t="s">
        <v>63</v>
      </c>
      <c r="B166" s="32">
        <v>45658</v>
      </c>
      <c r="C166" s="25" t="s">
        <v>20</v>
      </c>
      <c r="D166" s="25" t="s">
        <v>28</v>
      </c>
      <c r="E166" s="25">
        <v>72150.53</v>
      </c>
      <c r="F166" s="25">
        <v>9323</v>
      </c>
      <c r="G166" s="25">
        <v>0.157</v>
      </c>
      <c r="H166" s="25">
        <v>22</v>
      </c>
      <c r="I166" s="25">
        <v>82.9</v>
      </c>
      <c r="J166" s="25">
        <v>11.37</v>
      </c>
      <c r="K166" s="25">
        <v>1</v>
      </c>
      <c r="L166" s="25">
        <v>4.3</v>
      </c>
      <c r="M166" s="25">
        <v>825797.91</v>
      </c>
      <c r="N166" s="25">
        <v>130945.24</v>
      </c>
      <c r="O166" s="25">
        <f t="shared" si="12"/>
        <v>1</v>
      </c>
      <c r="P166" s="25">
        <f t="shared" si="13"/>
        <v>0</v>
      </c>
      <c r="Q166" s="25">
        <f t="shared" si="14"/>
        <v>0</v>
      </c>
      <c r="R166" s="25">
        <f t="shared" si="15"/>
        <v>0</v>
      </c>
      <c r="S166" s="25">
        <f t="shared" si="16"/>
        <v>1</v>
      </c>
      <c r="T166" s="25">
        <f t="shared" si="17"/>
        <v>0</v>
      </c>
    </row>
    <row r="167" spans="1:20">
      <c r="A167" s="25" t="s">
        <v>63</v>
      </c>
      <c r="B167" s="32">
        <v>45689</v>
      </c>
      <c r="C167" s="25" t="s">
        <v>20</v>
      </c>
      <c r="D167" s="25" t="s">
        <v>28</v>
      </c>
      <c r="E167" s="25">
        <v>35303.300000000003</v>
      </c>
      <c r="F167" s="25">
        <v>8789</v>
      </c>
      <c r="G167" s="25">
        <v>0.123</v>
      </c>
      <c r="H167" s="25">
        <v>22</v>
      </c>
      <c r="I167" s="25">
        <v>86.1</v>
      </c>
      <c r="J167" s="25">
        <v>9.43</v>
      </c>
      <c r="K167" s="25">
        <v>0</v>
      </c>
      <c r="L167" s="25">
        <v>4.2</v>
      </c>
      <c r="M167" s="25">
        <v>706285.52</v>
      </c>
      <c r="N167" s="25">
        <v>138014.72</v>
      </c>
      <c r="O167" s="25">
        <f t="shared" si="12"/>
        <v>1</v>
      </c>
      <c r="P167" s="25">
        <f t="shared" si="13"/>
        <v>0</v>
      </c>
      <c r="Q167" s="25">
        <f t="shared" si="14"/>
        <v>0</v>
      </c>
      <c r="R167" s="25">
        <f t="shared" si="15"/>
        <v>0</v>
      </c>
      <c r="S167" s="25">
        <f t="shared" si="16"/>
        <v>1</v>
      </c>
      <c r="T167" s="25">
        <f t="shared" si="17"/>
        <v>0</v>
      </c>
    </row>
    <row r="168" spans="1:20">
      <c r="A168" s="25" t="s">
        <v>63</v>
      </c>
      <c r="B168" s="32">
        <v>45717</v>
      </c>
      <c r="C168" s="25" t="s">
        <v>20</v>
      </c>
      <c r="D168" s="25" t="s">
        <v>28</v>
      </c>
      <c r="E168" s="25">
        <v>30301.86</v>
      </c>
      <c r="F168" s="25">
        <v>6939</v>
      </c>
      <c r="G168" s="25">
        <v>0.09</v>
      </c>
      <c r="H168" s="25">
        <v>16</v>
      </c>
      <c r="I168" s="25">
        <v>90.3</v>
      </c>
      <c r="J168" s="25">
        <v>3.49</v>
      </c>
      <c r="K168" s="25">
        <v>0</v>
      </c>
      <c r="L168" s="25">
        <v>4</v>
      </c>
      <c r="M168" s="25">
        <v>665534.69999999995</v>
      </c>
      <c r="N168" s="25">
        <v>113167.73</v>
      </c>
      <c r="O168" s="25">
        <f t="shared" si="12"/>
        <v>1</v>
      </c>
      <c r="P168" s="25">
        <f t="shared" si="13"/>
        <v>0</v>
      </c>
      <c r="Q168" s="25">
        <f t="shared" si="14"/>
        <v>0</v>
      </c>
      <c r="R168" s="25">
        <f t="shared" si="15"/>
        <v>0</v>
      </c>
      <c r="S168" s="25">
        <f t="shared" si="16"/>
        <v>1</v>
      </c>
      <c r="T168" s="25">
        <f t="shared" si="17"/>
        <v>0</v>
      </c>
    </row>
    <row r="169" spans="1:20">
      <c r="A169" s="25" t="s">
        <v>63</v>
      </c>
      <c r="B169" s="32">
        <v>45748</v>
      </c>
      <c r="C169" s="25" t="s">
        <v>20</v>
      </c>
      <c r="D169" s="25" t="s">
        <v>28</v>
      </c>
      <c r="E169" s="25">
        <v>78432.14</v>
      </c>
      <c r="F169" s="25">
        <v>9440</v>
      </c>
      <c r="G169" s="25">
        <v>0.126</v>
      </c>
      <c r="H169" s="25">
        <v>23</v>
      </c>
      <c r="I169" s="25">
        <v>89.2</v>
      </c>
      <c r="J169" s="25">
        <v>7.86</v>
      </c>
      <c r="K169" s="25">
        <v>0</v>
      </c>
      <c r="L169" s="25">
        <v>4.0999999999999996</v>
      </c>
      <c r="M169" s="25">
        <v>820729.29</v>
      </c>
      <c r="N169" s="25">
        <v>159325.47</v>
      </c>
      <c r="O169" s="25">
        <f t="shared" si="12"/>
        <v>1</v>
      </c>
      <c r="P169" s="25">
        <f t="shared" si="13"/>
        <v>0</v>
      </c>
      <c r="Q169" s="25">
        <f t="shared" si="14"/>
        <v>0</v>
      </c>
      <c r="R169" s="25">
        <f t="shared" si="15"/>
        <v>0</v>
      </c>
      <c r="S169" s="25">
        <f t="shared" si="16"/>
        <v>1</v>
      </c>
      <c r="T169" s="25">
        <f t="shared" si="17"/>
        <v>0</v>
      </c>
    </row>
    <row r="170" spans="1:20">
      <c r="A170" s="25" t="s">
        <v>64</v>
      </c>
      <c r="B170" s="32">
        <v>45658</v>
      </c>
      <c r="C170" s="25" t="s">
        <v>15</v>
      </c>
      <c r="D170" s="25" t="s">
        <v>16</v>
      </c>
      <c r="E170" s="25">
        <v>62059.18</v>
      </c>
      <c r="F170" s="25">
        <v>9374</v>
      </c>
      <c r="G170" s="25">
        <v>0.13600000000000001</v>
      </c>
      <c r="H170" s="25">
        <v>25</v>
      </c>
      <c r="I170" s="25">
        <v>87.1</v>
      </c>
      <c r="J170" s="25">
        <v>12.55</v>
      </c>
      <c r="K170" s="25">
        <v>0</v>
      </c>
      <c r="L170" s="25">
        <v>4.9000000000000004</v>
      </c>
      <c r="M170" s="25">
        <v>739831.73</v>
      </c>
      <c r="N170" s="25">
        <v>119490.21</v>
      </c>
      <c r="O170" s="25">
        <f t="shared" si="12"/>
        <v>0</v>
      </c>
      <c r="P170" s="25">
        <f t="shared" si="13"/>
        <v>0</v>
      </c>
      <c r="Q170" s="25">
        <f t="shared" si="14"/>
        <v>0</v>
      </c>
      <c r="R170" s="25">
        <f t="shared" si="15"/>
        <v>0</v>
      </c>
      <c r="S170" s="25">
        <f t="shared" si="16"/>
        <v>0</v>
      </c>
      <c r="T170" s="25">
        <f t="shared" si="17"/>
        <v>1</v>
      </c>
    </row>
    <row r="171" spans="1:20">
      <c r="A171" s="25" t="s">
        <v>64</v>
      </c>
      <c r="B171" s="32">
        <v>45689</v>
      </c>
      <c r="C171" s="25" t="s">
        <v>15</v>
      </c>
      <c r="D171" s="25" t="s">
        <v>16</v>
      </c>
      <c r="E171" s="25">
        <v>32834.480000000003</v>
      </c>
      <c r="F171" s="25">
        <v>7576</v>
      </c>
      <c r="G171" s="25">
        <v>9.9000000000000005E-2</v>
      </c>
      <c r="H171" s="25">
        <v>15</v>
      </c>
      <c r="I171" s="25">
        <v>84.1</v>
      </c>
      <c r="J171" s="25">
        <v>3.48</v>
      </c>
      <c r="K171" s="25">
        <v>0</v>
      </c>
      <c r="L171" s="25">
        <v>5</v>
      </c>
      <c r="M171" s="25">
        <v>593637.14</v>
      </c>
      <c r="N171" s="25">
        <v>106648.14</v>
      </c>
      <c r="O171" s="25">
        <f t="shared" si="12"/>
        <v>0</v>
      </c>
      <c r="P171" s="25">
        <f t="shared" si="13"/>
        <v>0</v>
      </c>
      <c r="Q171" s="25">
        <f t="shared" si="14"/>
        <v>0</v>
      </c>
      <c r="R171" s="25">
        <f t="shared" si="15"/>
        <v>0</v>
      </c>
      <c r="S171" s="25">
        <f t="shared" si="16"/>
        <v>0</v>
      </c>
      <c r="T171" s="25">
        <f t="shared" si="17"/>
        <v>1</v>
      </c>
    </row>
    <row r="172" spans="1:20">
      <c r="A172" s="25" t="s">
        <v>64</v>
      </c>
      <c r="B172" s="32">
        <v>45717</v>
      </c>
      <c r="C172" s="25" t="s">
        <v>15</v>
      </c>
      <c r="D172" s="25" t="s">
        <v>16</v>
      </c>
      <c r="E172" s="25">
        <v>50825.08</v>
      </c>
      <c r="F172" s="25">
        <v>8949</v>
      </c>
      <c r="G172" s="25">
        <v>0.157</v>
      </c>
      <c r="H172" s="25">
        <v>21</v>
      </c>
      <c r="I172" s="25">
        <v>84.7</v>
      </c>
      <c r="J172" s="25">
        <v>7.73</v>
      </c>
      <c r="K172" s="25">
        <v>0</v>
      </c>
      <c r="L172" s="25">
        <v>4.9000000000000004</v>
      </c>
      <c r="M172" s="25">
        <v>769702.76</v>
      </c>
      <c r="N172" s="25">
        <v>158697</v>
      </c>
      <c r="O172" s="25">
        <f t="shared" si="12"/>
        <v>0</v>
      </c>
      <c r="P172" s="25">
        <f t="shared" si="13"/>
        <v>0</v>
      </c>
      <c r="Q172" s="25">
        <f t="shared" si="14"/>
        <v>0</v>
      </c>
      <c r="R172" s="25">
        <f t="shared" si="15"/>
        <v>0</v>
      </c>
      <c r="S172" s="25">
        <f t="shared" si="16"/>
        <v>0</v>
      </c>
      <c r="T172" s="25">
        <f t="shared" si="17"/>
        <v>1</v>
      </c>
    </row>
    <row r="173" spans="1:20">
      <c r="A173" s="25" t="s">
        <v>64</v>
      </c>
      <c r="B173" s="32">
        <v>45748</v>
      </c>
      <c r="C173" s="25" t="s">
        <v>15</v>
      </c>
      <c r="D173" s="25" t="s">
        <v>16</v>
      </c>
      <c r="E173" s="25">
        <v>36606.51</v>
      </c>
      <c r="F173" s="25">
        <v>7671</v>
      </c>
      <c r="G173" s="25">
        <v>0.11799999999999999</v>
      </c>
      <c r="H173" s="25">
        <v>18</v>
      </c>
      <c r="I173" s="25">
        <v>89.8</v>
      </c>
      <c r="J173" s="25">
        <v>0.25</v>
      </c>
      <c r="K173" s="25">
        <v>0</v>
      </c>
      <c r="L173" s="25">
        <v>4.4000000000000004</v>
      </c>
      <c r="M173" s="25">
        <v>679731.57</v>
      </c>
      <c r="N173" s="25">
        <v>121546.42</v>
      </c>
      <c r="O173" s="25">
        <f t="shared" si="12"/>
        <v>0</v>
      </c>
      <c r="P173" s="25">
        <f t="shared" si="13"/>
        <v>0</v>
      </c>
      <c r="Q173" s="25">
        <f t="shared" si="14"/>
        <v>0</v>
      </c>
      <c r="R173" s="25">
        <f t="shared" si="15"/>
        <v>0</v>
      </c>
      <c r="S173" s="25">
        <f t="shared" si="16"/>
        <v>0</v>
      </c>
      <c r="T173" s="25">
        <f t="shared" si="17"/>
        <v>1</v>
      </c>
    </row>
    <row r="174" spans="1:20">
      <c r="A174" s="25" t="s">
        <v>65</v>
      </c>
      <c r="B174" s="32">
        <v>45658</v>
      </c>
      <c r="C174" s="25" t="s">
        <v>15</v>
      </c>
      <c r="D174" s="25" t="s">
        <v>16</v>
      </c>
      <c r="E174" s="25">
        <v>65237.79</v>
      </c>
      <c r="F174" s="25">
        <v>8741</v>
      </c>
      <c r="G174" s="25">
        <v>0.157</v>
      </c>
      <c r="H174" s="25">
        <v>20</v>
      </c>
      <c r="I174" s="25">
        <v>94.4</v>
      </c>
      <c r="J174" s="25">
        <v>6.43</v>
      </c>
      <c r="K174" s="25">
        <v>0</v>
      </c>
      <c r="L174" s="25">
        <v>3.3</v>
      </c>
      <c r="M174" s="25">
        <v>780344.18</v>
      </c>
      <c r="N174" s="25">
        <v>118239.09</v>
      </c>
      <c r="O174" s="25">
        <f t="shared" si="12"/>
        <v>0</v>
      </c>
      <c r="P174" s="25">
        <f t="shared" si="13"/>
        <v>0</v>
      </c>
      <c r="Q174" s="25">
        <f t="shared" si="14"/>
        <v>0</v>
      </c>
      <c r="R174" s="25">
        <f t="shared" si="15"/>
        <v>0</v>
      </c>
      <c r="S174" s="25">
        <f t="shared" si="16"/>
        <v>0</v>
      </c>
      <c r="T174" s="25">
        <f t="shared" si="17"/>
        <v>1</v>
      </c>
    </row>
    <row r="175" spans="1:20">
      <c r="A175" s="25" t="s">
        <v>65</v>
      </c>
      <c r="B175" s="32">
        <v>45689</v>
      </c>
      <c r="C175" s="25" t="s">
        <v>15</v>
      </c>
      <c r="D175" s="25" t="s">
        <v>16</v>
      </c>
      <c r="E175" s="25">
        <v>43645.98</v>
      </c>
      <c r="F175" s="25">
        <v>9480</v>
      </c>
      <c r="G175" s="25">
        <v>0.109</v>
      </c>
      <c r="H175" s="25">
        <v>22</v>
      </c>
      <c r="I175" s="25">
        <v>89</v>
      </c>
      <c r="J175" s="25">
        <v>2.11</v>
      </c>
      <c r="K175" s="25">
        <v>0</v>
      </c>
      <c r="L175" s="25">
        <v>3.1</v>
      </c>
      <c r="M175" s="25">
        <v>721364.11</v>
      </c>
      <c r="N175" s="25">
        <v>147272.81</v>
      </c>
      <c r="O175" s="25">
        <f t="shared" si="12"/>
        <v>0</v>
      </c>
      <c r="P175" s="25">
        <f t="shared" si="13"/>
        <v>0</v>
      </c>
      <c r="Q175" s="25">
        <f t="shared" si="14"/>
        <v>0</v>
      </c>
      <c r="R175" s="25">
        <f t="shared" si="15"/>
        <v>0</v>
      </c>
      <c r="S175" s="25">
        <f t="shared" si="16"/>
        <v>0</v>
      </c>
      <c r="T175" s="25">
        <f t="shared" si="17"/>
        <v>1</v>
      </c>
    </row>
    <row r="176" spans="1:20">
      <c r="A176" s="25" t="s">
        <v>65</v>
      </c>
      <c r="B176" s="32">
        <v>45717</v>
      </c>
      <c r="C176" s="25" t="s">
        <v>15</v>
      </c>
      <c r="D176" s="25" t="s">
        <v>16</v>
      </c>
      <c r="E176" s="25">
        <v>68040.149999999994</v>
      </c>
      <c r="F176" s="25">
        <v>9826</v>
      </c>
      <c r="G176" s="25">
        <v>0.125</v>
      </c>
      <c r="H176" s="25">
        <v>20</v>
      </c>
      <c r="I176" s="25">
        <v>83.9</v>
      </c>
      <c r="J176" s="25">
        <v>9.1199999999999992</v>
      </c>
      <c r="K176" s="25">
        <v>0</v>
      </c>
      <c r="L176" s="25">
        <v>3.6</v>
      </c>
      <c r="M176" s="25">
        <v>758138.29</v>
      </c>
      <c r="N176" s="25">
        <v>132975.26</v>
      </c>
      <c r="O176" s="25">
        <f t="shared" si="12"/>
        <v>0</v>
      </c>
      <c r="P176" s="25">
        <f t="shared" si="13"/>
        <v>0</v>
      </c>
      <c r="Q176" s="25">
        <f t="shared" si="14"/>
        <v>0</v>
      </c>
      <c r="R176" s="25">
        <f t="shared" si="15"/>
        <v>0</v>
      </c>
      <c r="S176" s="25">
        <f t="shared" si="16"/>
        <v>0</v>
      </c>
      <c r="T176" s="25">
        <f t="shared" si="17"/>
        <v>1</v>
      </c>
    </row>
    <row r="177" spans="1:20">
      <c r="A177" s="25" t="s">
        <v>65</v>
      </c>
      <c r="B177" s="32">
        <v>45748</v>
      </c>
      <c r="C177" s="25" t="s">
        <v>15</v>
      </c>
      <c r="D177" s="25" t="s">
        <v>16</v>
      </c>
      <c r="E177" s="25">
        <v>63043.94</v>
      </c>
      <c r="F177" s="25">
        <v>10402</v>
      </c>
      <c r="G177" s="25">
        <v>0.159</v>
      </c>
      <c r="H177" s="25">
        <v>23</v>
      </c>
      <c r="I177" s="25">
        <v>93.9</v>
      </c>
      <c r="J177" s="25">
        <v>2.71</v>
      </c>
      <c r="K177" s="25">
        <v>0</v>
      </c>
      <c r="L177" s="25">
        <v>3.1</v>
      </c>
      <c r="M177" s="25">
        <v>804264</v>
      </c>
      <c r="N177" s="25">
        <v>167117.91</v>
      </c>
      <c r="O177" s="25">
        <f t="shared" si="12"/>
        <v>0</v>
      </c>
      <c r="P177" s="25">
        <f t="shared" si="13"/>
        <v>0</v>
      </c>
      <c r="Q177" s="25">
        <f t="shared" si="14"/>
        <v>0</v>
      </c>
      <c r="R177" s="25">
        <f t="shared" si="15"/>
        <v>0</v>
      </c>
      <c r="S177" s="25">
        <f t="shared" si="16"/>
        <v>0</v>
      </c>
      <c r="T177" s="25">
        <f t="shared" si="17"/>
        <v>1</v>
      </c>
    </row>
    <row r="178" spans="1:20">
      <c r="A178" s="25" t="s">
        <v>66</v>
      </c>
      <c r="B178" s="32">
        <v>45658</v>
      </c>
      <c r="C178" s="25" t="s">
        <v>27</v>
      </c>
      <c r="D178" s="25" t="s">
        <v>21</v>
      </c>
      <c r="E178" s="25">
        <v>67494.09</v>
      </c>
      <c r="F178" s="25">
        <v>12361</v>
      </c>
      <c r="G178" s="25">
        <v>4.5999999999999999E-2</v>
      </c>
      <c r="H178" s="25">
        <v>24</v>
      </c>
      <c r="I178" s="25">
        <v>76.599999999999994</v>
      </c>
      <c r="J178" s="25">
        <v>3.65</v>
      </c>
      <c r="K178" s="25">
        <v>1</v>
      </c>
      <c r="L178" s="25">
        <v>3.7</v>
      </c>
      <c r="M178" s="25">
        <v>887537.75</v>
      </c>
      <c r="N178" s="25">
        <v>160362.92000000001</v>
      </c>
      <c r="O178" s="25">
        <f t="shared" si="12"/>
        <v>0</v>
      </c>
      <c r="P178" s="25">
        <f t="shared" si="13"/>
        <v>0</v>
      </c>
      <c r="Q178" s="25">
        <f t="shared" si="14"/>
        <v>1</v>
      </c>
      <c r="R178" s="25">
        <f t="shared" si="15"/>
        <v>0</v>
      </c>
      <c r="S178" s="25">
        <f t="shared" si="16"/>
        <v>0</v>
      </c>
      <c r="T178" s="25">
        <f t="shared" si="17"/>
        <v>0</v>
      </c>
    </row>
    <row r="179" spans="1:20">
      <c r="A179" s="25" t="s">
        <v>66</v>
      </c>
      <c r="B179" s="32">
        <v>45689</v>
      </c>
      <c r="C179" s="25" t="s">
        <v>27</v>
      </c>
      <c r="D179" s="25" t="s">
        <v>21</v>
      </c>
      <c r="E179" s="25">
        <v>29389.32</v>
      </c>
      <c r="F179" s="25">
        <v>7925</v>
      </c>
      <c r="G179" s="25">
        <v>0.17699999999999999</v>
      </c>
      <c r="H179" s="25">
        <v>21</v>
      </c>
      <c r="I179" s="25">
        <v>90.9</v>
      </c>
      <c r="J179" s="25">
        <v>7.86</v>
      </c>
      <c r="K179" s="25">
        <v>0</v>
      </c>
      <c r="L179" s="25">
        <v>4</v>
      </c>
      <c r="M179" s="25">
        <v>783582</v>
      </c>
      <c r="N179" s="25">
        <v>130670.93</v>
      </c>
      <c r="O179" s="25">
        <f t="shared" si="12"/>
        <v>0</v>
      </c>
      <c r="P179" s="25">
        <f t="shared" si="13"/>
        <v>0</v>
      </c>
      <c r="Q179" s="25">
        <f t="shared" si="14"/>
        <v>1</v>
      </c>
      <c r="R179" s="25">
        <f t="shared" si="15"/>
        <v>0</v>
      </c>
      <c r="S179" s="25">
        <f t="shared" si="16"/>
        <v>0</v>
      </c>
      <c r="T179" s="25">
        <f t="shared" si="17"/>
        <v>0</v>
      </c>
    </row>
    <row r="180" spans="1:20">
      <c r="A180" s="25" t="s">
        <v>66</v>
      </c>
      <c r="B180" s="32">
        <v>45717</v>
      </c>
      <c r="C180" s="25" t="s">
        <v>27</v>
      </c>
      <c r="D180" s="25" t="s">
        <v>21</v>
      </c>
      <c r="E180" s="25">
        <v>40535.089999999997</v>
      </c>
      <c r="F180" s="25">
        <v>8870</v>
      </c>
      <c r="G180" s="25">
        <v>4.1000000000000002E-2</v>
      </c>
      <c r="H180" s="25">
        <v>21</v>
      </c>
      <c r="I180" s="25">
        <v>86.6</v>
      </c>
      <c r="J180" s="25">
        <v>0.3</v>
      </c>
      <c r="K180" s="25">
        <v>0</v>
      </c>
      <c r="L180" s="25">
        <v>4.0999999999999996</v>
      </c>
      <c r="M180" s="25">
        <v>781955.52</v>
      </c>
      <c r="N180" s="25">
        <v>152578.71</v>
      </c>
      <c r="O180" s="25">
        <f t="shared" si="12"/>
        <v>0</v>
      </c>
      <c r="P180" s="25">
        <f t="shared" si="13"/>
        <v>0</v>
      </c>
      <c r="Q180" s="25">
        <f t="shared" si="14"/>
        <v>1</v>
      </c>
      <c r="R180" s="25">
        <f t="shared" si="15"/>
        <v>0</v>
      </c>
      <c r="S180" s="25">
        <f t="shared" si="16"/>
        <v>0</v>
      </c>
      <c r="T180" s="25">
        <f t="shared" si="17"/>
        <v>0</v>
      </c>
    </row>
    <row r="181" spans="1:20">
      <c r="A181" s="25" t="s">
        <v>66</v>
      </c>
      <c r="B181" s="32">
        <v>45748</v>
      </c>
      <c r="C181" s="25" t="s">
        <v>27</v>
      </c>
      <c r="D181" s="25" t="s">
        <v>21</v>
      </c>
      <c r="E181" s="25">
        <v>74881.56</v>
      </c>
      <c r="F181" s="25">
        <v>9999</v>
      </c>
      <c r="G181" s="25">
        <v>1.2999999999999999E-2</v>
      </c>
      <c r="H181" s="25">
        <v>20</v>
      </c>
      <c r="I181" s="25">
        <v>89.6</v>
      </c>
      <c r="J181" s="25">
        <v>8.44</v>
      </c>
      <c r="K181" s="25">
        <v>0</v>
      </c>
      <c r="L181" s="25">
        <v>4.0999999999999996</v>
      </c>
      <c r="M181" s="25">
        <v>898031.04</v>
      </c>
      <c r="N181" s="25">
        <v>138666.5</v>
      </c>
      <c r="O181" s="25">
        <f t="shared" si="12"/>
        <v>0</v>
      </c>
      <c r="P181" s="25">
        <f t="shared" si="13"/>
        <v>0</v>
      </c>
      <c r="Q181" s="25">
        <f t="shared" si="14"/>
        <v>1</v>
      </c>
      <c r="R181" s="25">
        <f t="shared" si="15"/>
        <v>0</v>
      </c>
      <c r="S181" s="25">
        <f t="shared" si="16"/>
        <v>0</v>
      </c>
      <c r="T181" s="25">
        <f t="shared" si="17"/>
        <v>0</v>
      </c>
    </row>
    <row r="182" spans="1:20">
      <c r="A182" s="25" t="s">
        <v>67</v>
      </c>
      <c r="B182" s="32">
        <v>45658</v>
      </c>
      <c r="C182" s="25" t="s">
        <v>27</v>
      </c>
      <c r="D182" s="25" t="s">
        <v>16</v>
      </c>
      <c r="E182" s="25">
        <v>68491.11</v>
      </c>
      <c r="F182" s="25">
        <v>11154</v>
      </c>
      <c r="G182" s="25">
        <v>1E-3</v>
      </c>
      <c r="H182" s="25">
        <v>24</v>
      </c>
      <c r="I182" s="25">
        <v>89.4</v>
      </c>
      <c r="J182" s="25">
        <v>5.27</v>
      </c>
      <c r="K182" s="25">
        <v>1</v>
      </c>
      <c r="L182" s="25">
        <v>3.9</v>
      </c>
      <c r="M182" s="25">
        <v>855341.28</v>
      </c>
      <c r="N182" s="25">
        <v>175823.8</v>
      </c>
      <c r="O182" s="25">
        <f t="shared" si="12"/>
        <v>0</v>
      </c>
      <c r="P182" s="25">
        <f t="shared" si="13"/>
        <v>0</v>
      </c>
      <c r="Q182" s="25">
        <f t="shared" si="14"/>
        <v>1</v>
      </c>
      <c r="R182" s="25">
        <f t="shared" si="15"/>
        <v>0</v>
      </c>
      <c r="S182" s="25">
        <f t="shared" si="16"/>
        <v>0</v>
      </c>
      <c r="T182" s="25">
        <f t="shared" si="17"/>
        <v>1</v>
      </c>
    </row>
    <row r="183" spans="1:20">
      <c r="A183" s="25" t="s">
        <v>67</v>
      </c>
      <c r="B183" s="32">
        <v>45689</v>
      </c>
      <c r="C183" s="25" t="s">
        <v>27</v>
      </c>
      <c r="D183" s="25" t="s">
        <v>16</v>
      </c>
      <c r="E183" s="25">
        <v>45209.25</v>
      </c>
      <c r="F183" s="25">
        <v>9287</v>
      </c>
      <c r="G183" s="25">
        <v>0.14099999999999999</v>
      </c>
      <c r="H183" s="25">
        <v>22</v>
      </c>
      <c r="I183" s="25">
        <v>86.4</v>
      </c>
      <c r="J183" s="25">
        <v>13.22</v>
      </c>
      <c r="K183" s="25">
        <v>0</v>
      </c>
      <c r="L183" s="25">
        <v>3.6</v>
      </c>
      <c r="M183" s="25">
        <v>751393.88</v>
      </c>
      <c r="N183" s="25">
        <v>91480.320000000007</v>
      </c>
      <c r="O183" s="25">
        <f t="shared" si="12"/>
        <v>0</v>
      </c>
      <c r="P183" s="25">
        <f t="shared" si="13"/>
        <v>0</v>
      </c>
      <c r="Q183" s="25">
        <f t="shared" si="14"/>
        <v>1</v>
      </c>
      <c r="R183" s="25">
        <f t="shared" si="15"/>
        <v>0</v>
      </c>
      <c r="S183" s="25">
        <f t="shared" si="16"/>
        <v>0</v>
      </c>
      <c r="T183" s="25">
        <f t="shared" si="17"/>
        <v>1</v>
      </c>
    </row>
    <row r="184" spans="1:20">
      <c r="A184" s="25" t="s">
        <v>67</v>
      </c>
      <c r="B184" s="32">
        <v>45717</v>
      </c>
      <c r="C184" s="25" t="s">
        <v>27</v>
      </c>
      <c r="D184" s="25" t="s">
        <v>16</v>
      </c>
      <c r="E184" s="25">
        <v>63010.23</v>
      </c>
      <c r="F184" s="25">
        <v>9812</v>
      </c>
      <c r="G184" s="25">
        <v>0.113</v>
      </c>
      <c r="H184" s="25">
        <v>24</v>
      </c>
      <c r="I184" s="25">
        <v>76.8</v>
      </c>
      <c r="J184" s="25">
        <v>1.02</v>
      </c>
      <c r="K184" s="25">
        <v>1</v>
      </c>
      <c r="L184" s="25">
        <v>3.8</v>
      </c>
      <c r="M184" s="25">
        <v>761077.08</v>
      </c>
      <c r="N184" s="25">
        <v>113605.93</v>
      </c>
      <c r="O184" s="25">
        <f t="shared" si="12"/>
        <v>0</v>
      </c>
      <c r="P184" s="25">
        <f t="shared" si="13"/>
        <v>0</v>
      </c>
      <c r="Q184" s="25">
        <f t="shared" si="14"/>
        <v>1</v>
      </c>
      <c r="R184" s="25">
        <f t="shared" si="15"/>
        <v>0</v>
      </c>
      <c r="S184" s="25">
        <f t="shared" si="16"/>
        <v>0</v>
      </c>
      <c r="T184" s="25">
        <f t="shared" si="17"/>
        <v>1</v>
      </c>
    </row>
    <row r="185" spans="1:20">
      <c r="A185" s="25" t="s">
        <v>67</v>
      </c>
      <c r="B185" s="32">
        <v>45748</v>
      </c>
      <c r="C185" s="25" t="s">
        <v>27</v>
      </c>
      <c r="D185" s="25" t="s">
        <v>16</v>
      </c>
      <c r="E185" s="25">
        <v>57948.88</v>
      </c>
      <c r="F185" s="25">
        <v>10741</v>
      </c>
      <c r="G185" s="25">
        <v>7.0000000000000007E-2</v>
      </c>
      <c r="H185" s="25">
        <v>25</v>
      </c>
      <c r="I185" s="25">
        <v>90.1</v>
      </c>
      <c r="J185" s="25">
        <v>4.03</v>
      </c>
      <c r="K185" s="25">
        <v>0</v>
      </c>
      <c r="L185" s="25">
        <v>3.1</v>
      </c>
      <c r="M185" s="25">
        <v>819660.59</v>
      </c>
      <c r="N185" s="25">
        <v>172699.95</v>
      </c>
      <c r="O185" s="25">
        <f t="shared" si="12"/>
        <v>0</v>
      </c>
      <c r="P185" s="25">
        <f t="shared" si="13"/>
        <v>0</v>
      </c>
      <c r="Q185" s="25">
        <f t="shared" si="14"/>
        <v>1</v>
      </c>
      <c r="R185" s="25">
        <f t="shared" si="15"/>
        <v>0</v>
      </c>
      <c r="S185" s="25">
        <f t="shared" si="16"/>
        <v>0</v>
      </c>
      <c r="T185" s="25">
        <f t="shared" si="17"/>
        <v>1</v>
      </c>
    </row>
    <row r="186" spans="1:20">
      <c r="A186" s="25" t="s">
        <v>68</v>
      </c>
      <c r="B186" s="32">
        <v>45658</v>
      </c>
      <c r="C186" s="25" t="s">
        <v>20</v>
      </c>
      <c r="D186" s="25" t="s">
        <v>18</v>
      </c>
      <c r="E186" s="25">
        <v>71941.62</v>
      </c>
      <c r="F186" s="25">
        <v>6084</v>
      </c>
      <c r="G186" s="25">
        <v>7.1999999999999995E-2</v>
      </c>
      <c r="H186" s="25">
        <v>13</v>
      </c>
      <c r="I186" s="25">
        <v>93.7</v>
      </c>
      <c r="J186" s="25">
        <v>2.34</v>
      </c>
      <c r="K186" s="25">
        <v>0</v>
      </c>
      <c r="L186" s="25">
        <v>4.4000000000000004</v>
      </c>
      <c r="M186" s="25">
        <v>681855.56</v>
      </c>
      <c r="N186" s="25">
        <v>117645.61</v>
      </c>
      <c r="O186" s="25">
        <f t="shared" si="12"/>
        <v>1</v>
      </c>
      <c r="P186" s="25">
        <f t="shared" si="13"/>
        <v>0</v>
      </c>
      <c r="Q186" s="25">
        <f t="shared" si="14"/>
        <v>0</v>
      </c>
      <c r="R186" s="25">
        <f t="shared" si="15"/>
        <v>1</v>
      </c>
      <c r="S186" s="25">
        <f t="shared" si="16"/>
        <v>0</v>
      </c>
      <c r="T186" s="25">
        <f t="shared" si="17"/>
        <v>0</v>
      </c>
    </row>
    <row r="187" spans="1:20">
      <c r="A187" s="25" t="s">
        <v>68</v>
      </c>
      <c r="B187" s="32">
        <v>45689</v>
      </c>
      <c r="C187" s="25" t="s">
        <v>20</v>
      </c>
      <c r="D187" s="25" t="s">
        <v>18</v>
      </c>
      <c r="E187" s="25">
        <v>57147.88</v>
      </c>
      <c r="F187" s="25">
        <v>5252</v>
      </c>
      <c r="G187" s="25">
        <v>0.161</v>
      </c>
      <c r="H187" s="25">
        <v>15</v>
      </c>
      <c r="I187" s="25">
        <v>95.5</v>
      </c>
      <c r="J187" s="25">
        <v>8.51</v>
      </c>
      <c r="K187" s="25">
        <v>0</v>
      </c>
      <c r="L187" s="25">
        <v>4.4000000000000004</v>
      </c>
      <c r="M187" s="25">
        <v>678311.17</v>
      </c>
      <c r="N187" s="25">
        <v>132029.76000000001</v>
      </c>
      <c r="O187" s="25">
        <f t="shared" si="12"/>
        <v>1</v>
      </c>
      <c r="P187" s="25">
        <f t="shared" si="13"/>
        <v>0</v>
      </c>
      <c r="Q187" s="25">
        <f t="shared" si="14"/>
        <v>0</v>
      </c>
      <c r="R187" s="25">
        <f t="shared" si="15"/>
        <v>1</v>
      </c>
      <c r="S187" s="25">
        <f t="shared" si="16"/>
        <v>0</v>
      </c>
      <c r="T187" s="25">
        <f t="shared" si="17"/>
        <v>0</v>
      </c>
    </row>
    <row r="188" spans="1:20">
      <c r="A188" s="25" t="s">
        <v>68</v>
      </c>
      <c r="B188" s="32">
        <v>45717</v>
      </c>
      <c r="C188" s="25" t="s">
        <v>20</v>
      </c>
      <c r="D188" s="25" t="s">
        <v>18</v>
      </c>
      <c r="E188" s="25">
        <v>48031.74</v>
      </c>
      <c r="F188" s="25">
        <v>6516</v>
      </c>
      <c r="G188" s="25">
        <v>6.7000000000000004E-2</v>
      </c>
      <c r="H188" s="25">
        <v>14</v>
      </c>
      <c r="I188" s="25">
        <v>99</v>
      </c>
      <c r="J188" s="25">
        <v>0.48</v>
      </c>
      <c r="K188" s="25">
        <v>1</v>
      </c>
      <c r="L188" s="25">
        <v>4.3</v>
      </c>
      <c r="M188" s="25">
        <v>765906.95</v>
      </c>
      <c r="N188" s="25">
        <v>114005.9</v>
      </c>
      <c r="O188" s="25">
        <f t="shared" si="12"/>
        <v>1</v>
      </c>
      <c r="P188" s="25">
        <f t="shared" si="13"/>
        <v>0</v>
      </c>
      <c r="Q188" s="25">
        <f t="shared" si="14"/>
        <v>0</v>
      </c>
      <c r="R188" s="25">
        <f t="shared" si="15"/>
        <v>1</v>
      </c>
      <c r="S188" s="25">
        <f t="shared" si="16"/>
        <v>0</v>
      </c>
      <c r="T188" s="25">
        <f t="shared" si="17"/>
        <v>0</v>
      </c>
    </row>
    <row r="189" spans="1:20">
      <c r="A189" s="25" t="s">
        <v>68</v>
      </c>
      <c r="B189" s="32">
        <v>45748</v>
      </c>
      <c r="C189" s="25" t="s">
        <v>20</v>
      </c>
      <c r="D189" s="25" t="s">
        <v>18</v>
      </c>
      <c r="E189" s="25">
        <v>72784.800000000003</v>
      </c>
      <c r="F189" s="25">
        <v>7932</v>
      </c>
      <c r="G189" s="25">
        <v>9.4E-2</v>
      </c>
      <c r="H189" s="25">
        <v>20</v>
      </c>
      <c r="I189" s="25">
        <v>74.900000000000006</v>
      </c>
      <c r="J189" s="25">
        <v>13.62</v>
      </c>
      <c r="K189" s="25">
        <v>0</v>
      </c>
      <c r="L189" s="25">
        <v>4.2</v>
      </c>
      <c r="M189" s="25">
        <v>712546.38</v>
      </c>
      <c r="N189" s="25">
        <v>101480.04</v>
      </c>
      <c r="O189" s="25">
        <f t="shared" si="12"/>
        <v>1</v>
      </c>
      <c r="P189" s="25">
        <f t="shared" si="13"/>
        <v>0</v>
      </c>
      <c r="Q189" s="25">
        <f t="shared" si="14"/>
        <v>0</v>
      </c>
      <c r="R189" s="25">
        <f t="shared" si="15"/>
        <v>1</v>
      </c>
      <c r="S189" s="25">
        <f t="shared" si="16"/>
        <v>0</v>
      </c>
      <c r="T189" s="25">
        <f t="shared" si="17"/>
        <v>0</v>
      </c>
    </row>
    <row r="190" spans="1:20">
      <c r="A190" s="25" t="s">
        <v>69</v>
      </c>
      <c r="B190" s="32">
        <v>45658</v>
      </c>
      <c r="C190" s="25" t="s">
        <v>15</v>
      </c>
      <c r="D190" s="25" t="s">
        <v>18</v>
      </c>
      <c r="E190" s="25">
        <v>71641.899999999994</v>
      </c>
      <c r="F190" s="25">
        <v>3506</v>
      </c>
      <c r="G190" s="25">
        <v>0</v>
      </c>
      <c r="H190" s="25">
        <v>11</v>
      </c>
      <c r="I190" s="25">
        <v>86.4</v>
      </c>
      <c r="J190" s="25">
        <v>7.77</v>
      </c>
      <c r="K190" s="25">
        <v>0</v>
      </c>
      <c r="L190" s="25">
        <v>4.0999999999999996</v>
      </c>
      <c r="M190" s="25">
        <v>625993.82999999996</v>
      </c>
      <c r="N190" s="25">
        <v>98960.320000000007</v>
      </c>
      <c r="O190" s="25">
        <f t="shared" si="12"/>
        <v>0</v>
      </c>
      <c r="P190" s="25">
        <f t="shared" si="13"/>
        <v>0</v>
      </c>
      <c r="Q190" s="25">
        <f t="shared" si="14"/>
        <v>0</v>
      </c>
      <c r="R190" s="25">
        <f t="shared" si="15"/>
        <v>1</v>
      </c>
      <c r="S190" s="25">
        <f t="shared" si="16"/>
        <v>0</v>
      </c>
      <c r="T190" s="25">
        <f t="shared" si="17"/>
        <v>0</v>
      </c>
    </row>
    <row r="191" spans="1:20">
      <c r="A191" s="25" t="s">
        <v>69</v>
      </c>
      <c r="B191" s="32">
        <v>45689</v>
      </c>
      <c r="C191" s="25" t="s">
        <v>15</v>
      </c>
      <c r="D191" s="25" t="s">
        <v>18</v>
      </c>
      <c r="E191" s="25">
        <v>55788.61</v>
      </c>
      <c r="F191" s="25">
        <v>2312</v>
      </c>
      <c r="G191" s="25">
        <v>5.8000000000000003E-2</v>
      </c>
      <c r="H191" s="25">
        <v>10</v>
      </c>
      <c r="I191" s="25">
        <v>91.3</v>
      </c>
      <c r="J191" s="25">
        <v>1.99</v>
      </c>
      <c r="K191" s="25">
        <v>0</v>
      </c>
      <c r="L191" s="25">
        <v>3.8</v>
      </c>
      <c r="M191" s="25">
        <v>550962.93000000005</v>
      </c>
      <c r="N191" s="25">
        <v>97144.58</v>
      </c>
      <c r="O191" s="25">
        <f t="shared" si="12"/>
        <v>0</v>
      </c>
      <c r="P191" s="25">
        <f t="shared" si="13"/>
        <v>0</v>
      </c>
      <c r="Q191" s="25">
        <f t="shared" si="14"/>
        <v>0</v>
      </c>
      <c r="R191" s="25">
        <f t="shared" si="15"/>
        <v>1</v>
      </c>
      <c r="S191" s="25">
        <f t="shared" si="16"/>
        <v>0</v>
      </c>
      <c r="T191" s="25">
        <f t="shared" si="17"/>
        <v>0</v>
      </c>
    </row>
    <row r="192" spans="1:20">
      <c r="A192" s="25" t="s">
        <v>69</v>
      </c>
      <c r="B192" s="32">
        <v>45717</v>
      </c>
      <c r="C192" s="25" t="s">
        <v>15</v>
      </c>
      <c r="D192" s="25" t="s">
        <v>18</v>
      </c>
      <c r="E192" s="25">
        <v>37705.879999999997</v>
      </c>
      <c r="F192" s="25">
        <v>1268</v>
      </c>
      <c r="G192" s="25">
        <v>0.25900000000000001</v>
      </c>
      <c r="H192" s="25">
        <v>9</v>
      </c>
      <c r="I192" s="25">
        <v>84.1</v>
      </c>
      <c r="J192" s="25">
        <v>4.7699999999999996</v>
      </c>
      <c r="K192" s="25">
        <v>0</v>
      </c>
      <c r="L192" s="25">
        <v>3.8</v>
      </c>
      <c r="M192" s="25">
        <v>443275.59</v>
      </c>
      <c r="N192" s="25">
        <v>53544.36</v>
      </c>
      <c r="O192" s="25">
        <f t="shared" si="12"/>
        <v>0</v>
      </c>
      <c r="P192" s="25">
        <f t="shared" si="13"/>
        <v>0</v>
      </c>
      <c r="Q192" s="25">
        <f t="shared" si="14"/>
        <v>0</v>
      </c>
      <c r="R192" s="25">
        <f t="shared" si="15"/>
        <v>1</v>
      </c>
      <c r="S192" s="25">
        <f t="shared" si="16"/>
        <v>0</v>
      </c>
      <c r="T192" s="25">
        <f t="shared" si="17"/>
        <v>0</v>
      </c>
    </row>
    <row r="193" spans="1:20">
      <c r="A193" s="25" t="s">
        <v>69</v>
      </c>
      <c r="B193" s="32">
        <v>45748</v>
      </c>
      <c r="C193" s="25" t="s">
        <v>15</v>
      </c>
      <c r="D193" s="25" t="s">
        <v>18</v>
      </c>
      <c r="E193" s="25">
        <v>54966.18</v>
      </c>
      <c r="F193" s="25">
        <v>4423</v>
      </c>
      <c r="G193" s="25">
        <v>0.186</v>
      </c>
      <c r="H193" s="25">
        <v>13</v>
      </c>
      <c r="I193" s="25">
        <v>88.7</v>
      </c>
      <c r="J193" s="25">
        <v>0.2</v>
      </c>
      <c r="K193" s="25">
        <v>0</v>
      </c>
      <c r="L193" s="25">
        <v>4.4000000000000004</v>
      </c>
      <c r="M193" s="25">
        <v>554012.06999999995</v>
      </c>
      <c r="N193" s="25">
        <v>81101.62</v>
      </c>
      <c r="O193" s="25">
        <f t="shared" si="12"/>
        <v>0</v>
      </c>
      <c r="P193" s="25">
        <f t="shared" si="13"/>
        <v>0</v>
      </c>
      <c r="Q193" s="25">
        <f t="shared" si="14"/>
        <v>0</v>
      </c>
      <c r="R193" s="25">
        <f t="shared" si="15"/>
        <v>1</v>
      </c>
      <c r="S193" s="25">
        <f t="shared" si="16"/>
        <v>0</v>
      </c>
      <c r="T193" s="25">
        <f t="shared" si="17"/>
        <v>0</v>
      </c>
    </row>
    <row r="194" spans="1:20">
      <c r="A194" s="25" t="s">
        <v>70</v>
      </c>
      <c r="B194" s="32">
        <v>45658</v>
      </c>
      <c r="C194" s="25" t="s">
        <v>27</v>
      </c>
      <c r="D194" s="25" t="s">
        <v>16</v>
      </c>
      <c r="E194" s="25">
        <v>81796.740000000005</v>
      </c>
      <c r="F194" s="25">
        <v>6177</v>
      </c>
      <c r="G194" s="25">
        <v>0.16400000000000001</v>
      </c>
      <c r="H194" s="25">
        <v>14</v>
      </c>
      <c r="I194" s="25">
        <v>87.9</v>
      </c>
      <c r="J194" s="25">
        <v>0.53</v>
      </c>
      <c r="K194" s="25">
        <v>0</v>
      </c>
      <c r="L194" s="25">
        <v>3.2</v>
      </c>
      <c r="M194" s="25">
        <v>643428.85</v>
      </c>
      <c r="N194" s="25">
        <v>94477.63</v>
      </c>
      <c r="O194" s="25">
        <f t="shared" si="12"/>
        <v>0</v>
      </c>
      <c r="P194" s="25">
        <f t="shared" si="13"/>
        <v>0</v>
      </c>
      <c r="Q194" s="25">
        <f t="shared" si="14"/>
        <v>1</v>
      </c>
      <c r="R194" s="25">
        <f t="shared" si="15"/>
        <v>0</v>
      </c>
      <c r="S194" s="25">
        <f t="shared" si="16"/>
        <v>0</v>
      </c>
      <c r="T194" s="25">
        <f t="shared" si="17"/>
        <v>1</v>
      </c>
    </row>
    <row r="195" spans="1:20">
      <c r="A195" s="25" t="s">
        <v>70</v>
      </c>
      <c r="B195" s="32">
        <v>45689</v>
      </c>
      <c r="C195" s="25" t="s">
        <v>27</v>
      </c>
      <c r="D195" s="25" t="s">
        <v>16</v>
      </c>
      <c r="E195" s="25">
        <v>51133.43</v>
      </c>
      <c r="F195" s="25">
        <v>5150</v>
      </c>
      <c r="G195" s="25">
        <v>0.15</v>
      </c>
      <c r="H195" s="25">
        <v>12</v>
      </c>
      <c r="I195" s="25">
        <v>88.5</v>
      </c>
      <c r="J195" s="25">
        <v>1.54</v>
      </c>
      <c r="K195" s="25">
        <v>0</v>
      </c>
      <c r="L195" s="25">
        <v>3.2</v>
      </c>
      <c r="M195" s="25">
        <v>611924.27</v>
      </c>
      <c r="N195" s="25">
        <v>115488.75</v>
      </c>
      <c r="O195" s="25">
        <f t="shared" ref="O195:O258" si="18">IF(C195="North",1,0)</f>
        <v>0</v>
      </c>
      <c r="P195" s="25">
        <f t="shared" ref="P195:P258" si="19">IF(C195="South",1,0)</f>
        <v>0</v>
      </c>
      <c r="Q195" s="25">
        <f t="shared" ref="Q195:Q258" si="20">IF(C195="West",1,0)</f>
        <v>1</v>
      </c>
      <c r="R195" s="25">
        <f t="shared" ref="R195:R258" si="21">IF(D195="High Street",1,0)</f>
        <v>0</v>
      </c>
      <c r="S195" s="25">
        <f t="shared" ref="S195:S258" si="22">IF(D195="Mall",1,0)</f>
        <v>0</v>
      </c>
      <c r="T195" s="25">
        <f t="shared" ref="T195:T258" si="23">IF(D195="Residential",1,0)</f>
        <v>1</v>
      </c>
    </row>
    <row r="196" spans="1:20">
      <c r="A196" s="25" t="s">
        <v>70</v>
      </c>
      <c r="B196" s="32">
        <v>45717</v>
      </c>
      <c r="C196" s="25" t="s">
        <v>27</v>
      </c>
      <c r="D196" s="25" t="s">
        <v>16</v>
      </c>
      <c r="E196" s="25">
        <v>40220.18</v>
      </c>
      <c r="F196" s="25">
        <v>3783</v>
      </c>
      <c r="G196" s="25">
        <v>8.8999999999999996E-2</v>
      </c>
      <c r="H196" s="25">
        <v>14</v>
      </c>
      <c r="I196" s="25">
        <v>86.6</v>
      </c>
      <c r="J196" s="25">
        <v>3.63</v>
      </c>
      <c r="K196" s="25">
        <v>0</v>
      </c>
      <c r="L196" s="25">
        <v>3.7</v>
      </c>
      <c r="M196" s="25">
        <v>559422.02</v>
      </c>
      <c r="N196" s="25">
        <v>73528.740000000005</v>
      </c>
      <c r="O196" s="25">
        <f t="shared" si="18"/>
        <v>0</v>
      </c>
      <c r="P196" s="25">
        <f t="shared" si="19"/>
        <v>0</v>
      </c>
      <c r="Q196" s="25">
        <f t="shared" si="20"/>
        <v>1</v>
      </c>
      <c r="R196" s="25">
        <f t="shared" si="21"/>
        <v>0</v>
      </c>
      <c r="S196" s="25">
        <f t="shared" si="22"/>
        <v>0</v>
      </c>
      <c r="T196" s="25">
        <f t="shared" si="23"/>
        <v>1</v>
      </c>
    </row>
    <row r="197" spans="1:20">
      <c r="A197" s="25" t="s">
        <v>70</v>
      </c>
      <c r="B197" s="32">
        <v>45748</v>
      </c>
      <c r="C197" s="25" t="s">
        <v>27</v>
      </c>
      <c r="D197" s="25" t="s">
        <v>16</v>
      </c>
      <c r="E197" s="25">
        <v>41657.64</v>
      </c>
      <c r="F197" s="25">
        <v>3135</v>
      </c>
      <c r="G197" s="25">
        <v>0.22900000000000001</v>
      </c>
      <c r="H197" s="25">
        <v>7</v>
      </c>
      <c r="I197" s="25">
        <v>85.4</v>
      </c>
      <c r="J197" s="25">
        <v>13.48</v>
      </c>
      <c r="K197" s="25">
        <v>0</v>
      </c>
      <c r="L197" s="25">
        <v>3.92</v>
      </c>
      <c r="M197" s="25">
        <v>449465.06</v>
      </c>
      <c r="N197" s="25">
        <v>65694.78</v>
      </c>
      <c r="O197" s="25">
        <f t="shared" si="18"/>
        <v>0</v>
      </c>
      <c r="P197" s="25">
        <f t="shared" si="19"/>
        <v>0</v>
      </c>
      <c r="Q197" s="25">
        <f t="shared" si="20"/>
        <v>1</v>
      </c>
      <c r="R197" s="25">
        <f t="shared" si="21"/>
        <v>0</v>
      </c>
      <c r="S197" s="25">
        <f t="shared" si="22"/>
        <v>0</v>
      </c>
      <c r="T197" s="25">
        <f t="shared" si="23"/>
        <v>1</v>
      </c>
    </row>
    <row r="198" spans="1:20">
      <c r="A198" s="25" t="s">
        <v>71</v>
      </c>
      <c r="B198" s="32">
        <v>45658</v>
      </c>
      <c r="C198" s="25" t="s">
        <v>20</v>
      </c>
      <c r="D198" s="25" t="s">
        <v>16</v>
      </c>
      <c r="E198" s="25">
        <v>71851.45</v>
      </c>
      <c r="F198" s="25">
        <v>4970</v>
      </c>
      <c r="G198" s="25">
        <v>9.8000000000000004E-2</v>
      </c>
      <c r="H198" s="25">
        <v>11</v>
      </c>
      <c r="I198" s="25">
        <v>89.6</v>
      </c>
      <c r="J198" s="25">
        <v>0.2</v>
      </c>
      <c r="K198" s="25">
        <v>0</v>
      </c>
      <c r="L198" s="25">
        <v>4.2</v>
      </c>
      <c r="M198" s="25">
        <v>691447.43</v>
      </c>
      <c r="N198" s="25">
        <v>114077.69</v>
      </c>
      <c r="O198" s="25">
        <f t="shared" si="18"/>
        <v>1</v>
      </c>
      <c r="P198" s="25">
        <f t="shared" si="19"/>
        <v>0</v>
      </c>
      <c r="Q198" s="25">
        <f t="shared" si="20"/>
        <v>0</v>
      </c>
      <c r="R198" s="25">
        <f t="shared" si="21"/>
        <v>0</v>
      </c>
      <c r="S198" s="25">
        <f t="shared" si="22"/>
        <v>0</v>
      </c>
      <c r="T198" s="25">
        <f t="shared" si="23"/>
        <v>1</v>
      </c>
    </row>
    <row r="199" spans="1:20">
      <c r="A199" s="25" t="s">
        <v>71</v>
      </c>
      <c r="B199" s="32">
        <v>45689</v>
      </c>
      <c r="C199" s="25" t="s">
        <v>20</v>
      </c>
      <c r="D199" s="25" t="s">
        <v>16</v>
      </c>
      <c r="E199" s="25">
        <v>54002.83</v>
      </c>
      <c r="F199" s="25">
        <v>4366</v>
      </c>
      <c r="G199" s="25">
        <v>2.7E-2</v>
      </c>
      <c r="H199" s="25">
        <v>15</v>
      </c>
      <c r="I199" s="25">
        <v>90.6</v>
      </c>
      <c r="J199" s="25">
        <v>12.82</v>
      </c>
      <c r="K199" s="25">
        <v>0</v>
      </c>
      <c r="L199" s="25">
        <v>4.5999999999999996</v>
      </c>
      <c r="M199" s="25">
        <v>574066.61</v>
      </c>
      <c r="N199" s="25">
        <v>124674.67</v>
      </c>
      <c r="O199" s="25">
        <f t="shared" si="18"/>
        <v>1</v>
      </c>
      <c r="P199" s="25">
        <f t="shared" si="19"/>
        <v>0</v>
      </c>
      <c r="Q199" s="25">
        <f t="shared" si="20"/>
        <v>0</v>
      </c>
      <c r="R199" s="25">
        <f t="shared" si="21"/>
        <v>0</v>
      </c>
      <c r="S199" s="25">
        <f t="shared" si="22"/>
        <v>0</v>
      </c>
      <c r="T199" s="25">
        <f t="shared" si="23"/>
        <v>1</v>
      </c>
    </row>
    <row r="200" spans="1:20">
      <c r="A200" s="25" t="s">
        <v>71</v>
      </c>
      <c r="B200" s="32">
        <v>45717</v>
      </c>
      <c r="C200" s="25" t="s">
        <v>20</v>
      </c>
      <c r="D200" s="25" t="s">
        <v>16</v>
      </c>
      <c r="E200" s="25">
        <v>54479.33</v>
      </c>
      <c r="F200" s="25">
        <v>5012</v>
      </c>
      <c r="G200" s="25">
        <v>0.28399999999999997</v>
      </c>
      <c r="H200" s="25">
        <v>13</v>
      </c>
      <c r="I200" s="25">
        <v>86</v>
      </c>
      <c r="J200" s="25">
        <v>2.2400000000000002</v>
      </c>
      <c r="K200" s="25">
        <v>1</v>
      </c>
      <c r="L200" s="25">
        <v>4.3</v>
      </c>
      <c r="M200" s="25">
        <v>578949.84</v>
      </c>
      <c r="N200" s="25">
        <v>80253.649999999994</v>
      </c>
      <c r="O200" s="25">
        <f t="shared" si="18"/>
        <v>1</v>
      </c>
      <c r="P200" s="25">
        <f t="shared" si="19"/>
        <v>0</v>
      </c>
      <c r="Q200" s="25">
        <f t="shared" si="20"/>
        <v>0</v>
      </c>
      <c r="R200" s="25">
        <f t="shared" si="21"/>
        <v>0</v>
      </c>
      <c r="S200" s="25">
        <f t="shared" si="22"/>
        <v>0</v>
      </c>
      <c r="T200" s="25">
        <f t="shared" si="23"/>
        <v>1</v>
      </c>
    </row>
    <row r="201" spans="1:20">
      <c r="A201" s="25" t="s">
        <v>71</v>
      </c>
      <c r="B201" s="32">
        <v>45748</v>
      </c>
      <c r="C201" s="25" t="s">
        <v>20</v>
      </c>
      <c r="D201" s="25" t="s">
        <v>16</v>
      </c>
      <c r="E201" s="25">
        <v>61391.8</v>
      </c>
      <c r="F201" s="25">
        <v>5575</v>
      </c>
      <c r="G201" s="25">
        <v>0.189</v>
      </c>
      <c r="H201" s="25">
        <v>18</v>
      </c>
      <c r="I201" s="25">
        <v>90</v>
      </c>
      <c r="J201" s="25">
        <v>1.8</v>
      </c>
      <c r="K201" s="25">
        <v>0</v>
      </c>
      <c r="L201" s="25">
        <v>4.8</v>
      </c>
      <c r="M201" s="25">
        <v>735786.64</v>
      </c>
      <c r="N201" s="25">
        <v>126540.66</v>
      </c>
      <c r="O201" s="25">
        <f t="shared" si="18"/>
        <v>1</v>
      </c>
      <c r="P201" s="25">
        <f t="shared" si="19"/>
        <v>0</v>
      </c>
      <c r="Q201" s="25">
        <f t="shared" si="20"/>
        <v>0</v>
      </c>
      <c r="R201" s="25">
        <f t="shared" si="21"/>
        <v>0</v>
      </c>
      <c r="S201" s="25">
        <f t="shared" si="22"/>
        <v>0</v>
      </c>
      <c r="T201" s="25">
        <f t="shared" si="23"/>
        <v>1</v>
      </c>
    </row>
    <row r="202" spans="1:20">
      <c r="A202" s="25" t="s">
        <v>72</v>
      </c>
      <c r="B202" s="32">
        <v>45658</v>
      </c>
      <c r="C202" s="25" t="s">
        <v>15</v>
      </c>
      <c r="D202" s="25" t="s">
        <v>21</v>
      </c>
      <c r="E202" s="25">
        <v>22312.93</v>
      </c>
      <c r="F202" s="25">
        <v>5955</v>
      </c>
      <c r="G202" s="25">
        <v>0.123</v>
      </c>
      <c r="H202" s="25">
        <v>13</v>
      </c>
      <c r="I202" s="25">
        <v>84.2</v>
      </c>
      <c r="J202" s="25">
        <v>0.41</v>
      </c>
      <c r="K202" s="25">
        <v>1</v>
      </c>
      <c r="L202" s="25">
        <v>4.5999999999999996</v>
      </c>
      <c r="M202" s="25">
        <v>598904.9</v>
      </c>
      <c r="N202" s="25">
        <v>72861</v>
      </c>
      <c r="O202" s="25">
        <f t="shared" si="18"/>
        <v>0</v>
      </c>
      <c r="P202" s="25">
        <f t="shared" si="19"/>
        <v>0</v>
      </c>
      <c r="Q202" s="25">
        <f t="shared" si="20"/>
        <v>0</v>
      </c>
      <c r="R202" s="25">
        <f t="shared" si="21"/>
        <v>0</v>
      </c>
      <c r="S202" s="25">
        <f t="shared" si="22"/>
        <v>0</v>
      </c>
      <c r="T202" s="25">
        <f t="shared" si="23"/>
        <v>0</v>
      </c>
    </row>
    <row r="203" spans="1:20">
      <c r="A203" s="25" t="s">
        <v>72</v>
      </c>
      <c r="B203" s="32">
        <v>45689</v>
      </c>
      <c r="C203" s="25" t="s">
        <v>15</v>
      </c>
      <c r="D203" s="25" t="s">
        <v>21</v>
      </c>
      <c r="E203" s="25">
        <v>78111.97</v>
      </c>
      <c r="F203" s="25">
        <v>6389</v>
      </c>
      <c r="G203" s="25">
        <v>0.15</v>
      </c>
      <c r="H203" s="25">
        <v>13</v>
      </c>
      <c r="I203" s="25">
        <v>83.9</v>
      </c>
      <c r="J203" s="25">
        <v>3.05</v>
      </c>
      <c r="K203" s="25">
        <v>0</v>
      </c>
      <c r="L203" s="25">
        <v>4.8</v>
      </c>
      <c r="M203" s="25">
        <v>787715.51</v>
      </c>
      <c r="N203" s="25">
        <v>128969.62</v>
      </c>
      <c r="O203" s="25">
        <f t="shared" si="18"/>
        <v>0</v>
      </c>
      <c r="P203" s="25">
        <f t="shared" si="19"/>
        <v>0</v>
      </c>
      <c r="Q203" s="25">
        <f t="shared" si="20"/>
        <v>0</v>
      </c>
      <c r="R203" s="25">
        <f t="shared" si="21"/>
        <v>0</v>
      </c>
      <c r="S203" s="25">
        <f t="shared" si="22"/>
        <v>0</v>
      </c>
      <c r="T203" s="25">
        <f t="shared" si="23"/>
        <v>0</v>
      </c>
    </row>
    <row r="204" spans="1:20">
      <c r="A204" s="25" t="s">
        <v>72</v>
      </c>
      <c r="B204" s="32">
        <v>45717</v>
      </c>
      <c r="C204" s="25" t="s">
        <v>15</v>
      </c>
      <c r="D204" s="25" t="s">
        <v>21</v>
      </c>
      <c r="E204" s="25">
        <v>35203.230000000003</v>
      </c>
      <c r="F204" s="25">
        <v>6896</v>
      </c>
      <c r="G204" s="25">
        <v>3.2000000000000001E-2</v>
      </c>
      <c r="H204" s="25">
        <v>14</v>
      </c>
      <c r="I204" s="25">
        <v>80.8</v>
      </c>
      <c r="J204" s="25">
        <v>8.44</v>
      </c>
      <c r="K204" s="25">
        <v>1</v>
      </c>
      <c r="L204" s="25">
        <v>5</v>
      </c>
      <c r="M204" s="25">
        <v>607084.92000000004</v>
      </c>
      <c r="N204" s="25">
        <v>98558.49</v>
      </c>
      <c r="O204" s="25">
        <f t="shared" si="18"/>
        <v>0</v>
      </c>
      <c r="P204" s="25">
        <f t="shared" si="19"/>
        <v>0</v>
      </c>
      <c r="Q204" s="25">
        <f t="shared" si="20"/>
        <v>0</v>
      </c>
      <c r="R204" s="25">
        <f t="shared" si="21"/>
        <v>0</v>
      </c>
      <c r="S204" s="25">
        <f t="shared" si="22"/>
        <v>0</v>
      </c>
      <c r="T204" s="25">
        <f t="shared" si="23"/>
        <v>0</v>
      </c>
    </row>
    <row r="205" spans="1:20">
      <c r="A205" s="25" t="s">
        <v>72</v>
      </c>
      <c r="B205" s="32">
        <v>45748</v>
      </c>
      <c r="C205" s="25" t="s">
        <v>15</v>
      </c>
      <c r="D205" s="25" t="s">
        <v>21</v>
      </c>
      <c r="E205" s="25">
        <v>64104.28</v>
      </c>
      <c r="F205" s="25">
        <v>6015</v>
      </c>
      <c r="G205" s="25">
        <v>0.127</v>
      </c>
      <c r="H205" s="25">
        <v>15</v>
      </c>
      <c r="I205" s="25">
        <v>88.7</v>
      </c>
      <c r="J205" s="25">
        <v>0.78</v>
      </c>
      <c r="K205" s="25">
        <v>0</v>
      </c>
      <c r="L205" s="25">
        <v>4</v>
      </c>
      <c r="M205" s="25">
        <v>650795.49</v>
      </c>
      <c r="N205" s="25">
        <v>103035.89</v>
      </c>
      <c r="O205" s="25">
        <f t="shared" si="18"/>
        <v>0</v>
      </c>
      <c r="P205" s="25">
        <f t="shared" si="19"/>
        <v>0</v>
      </c>
      <c r="Q205" s="25">
        <f t="shared" si="20"/>
        <v>0</v>
      </c>
      <c r="R205" s="25">
        <f t="shared" si="21"/>
        <v>0</v>
      </c>
      <c r="S205" s="25">
        <f t="shared" si="22"/>
        <v>0</v>
      </c>
      <c r="T205" s="25">
        <f t="shared" si="23"/>
        <v>0</v>
      </c>
    </row>
    <row r="206" spans="1:20">
      <c r="A206" s="25" t="s">
        <v>73</v>
      </c>
      <c r="B206" s="32">
        <v>45658</v>
      </c>
      <c r="C206" s="25" t="s">
        <v>15</v>
      </c>
      <c r="D206" s="25" t="s">
        <v>28</v>
      </c>
      <c r="E206" s="25">
        <v>92090.14</v>
      </c>
      <c r="F206" s="25">
        <v>9476</v>
      </c>
      <c r="G206" s="25">
        <v>7.0000000000000007E-2</v>
      </c>
      <c r="H206" s="25">
        <v>24</v>
      </c>
      <c r="I206" s="25">
        <v>94.3</v>
      </c>
      <c r="J206" s="25">
        <v>0.87</v>
      </c>
      <c r="K206" s="25">
        <v>0</v>
      </c>
      <c r="L206" s="25">
        <v>3.7</v>
      </c>
      <c r="M206" s="25">
        <v>825060.52</v>
      </c>
      <c r="N206" s="25">
        <v>143613.15</v>
      </c>
      <c r="O206" s="25">
        <f t="shared" si="18"/>
        <v>0</v>
      </c>
      <c r="P206" s="25">
        <f t="shared" si="19"/>
        <v>0</v>
      </c>
      <c r="Q206" s="25">
        <f t="shared" si="20"/>
        <v>0</v>
      </c>
      <c r="R206" s="25">
        <f t="shared" si="21"/>
        <v>0</v>
      </c>
      <c r="S206" s="25">
        <f t="shared" si="22"/>
        <v>1</v>
      </c>
      <c r="T206" s="25">
        <f t="shared" si="23"/>
        <v>0</v>
      </c>
    </row>
    <row r="207" spans="1:20">
      <c r="A207" s="25" t="s">
        <v>73</v>
      </c>
      <c r="B207" s="32">
        <v>45689</v>
      </c>
      <c r="C207" s="25" t="s">
        <v>15</v>
      </c>
      <c r="D207" s="25" t="s">
        <v>28</v>
      </c>
      <c r="E207" s="25">
        <v>54300.87</v>
      </c>
      <c r="F207" s="25">
        <v>7875</v>
      </c>
      <c r="G207" s="25">
        <v>0.107</v>
      </c>
      <c r="H207" s="25">
        <v>19</v>
      </c>
      <c r="I207" s="25">
        <v>94.1</v>
      </c>
      <c r="J207" s="25">
        <v>0.95</v>
      </c>
      <c r="K207" s="25">
        <v>0</v>
      </c>
      <c r="L207" s="25">
        <v>3.7</v>
      </c>
      <c r="M207" s="25">
        <v>795464.47</v>
      </c>
      <c r="N207" s="25">
        <v>161150.51999999999</v>
      </c>
      <c r="O207" s="25">
        <f t="shared" si="18"/>
        <v>0</v>
      </c>
      <c r="P207" s="25">
        <f t="shared" si="19"/>
        <v>0</v>
      </c>
      <c r="Q207" s="25">
        <f t="shared" si="20"/>
        <v>0</v>
      </c>
      <c r="R207" s="25">
        <f t="shared" si="21"/>
        <v>0</v>
      </c>
      <c r="S207" s="25">
        <f t="shared" si="22"/>
        <v>1</v>
      </c>
      <c r="T207" s="25">
        <f t="shared" si="23"/>
        <v>0</v>
      </c>
    </row>
    <row r="208" spans="1:20">
      <c r="A208" s="25" t="s">
        <v>73</v>
      </c>
      <c r="B208" s="32">
        <v>45717</v>
      </c>
      <c r="C208" s="25" t="s">
        <v>15</v>
      </c>
      <c r="D208" s="25" t="s">
        <v>28</v>
      </c>
      <c r="E208" s="25">
        <v>37983.35</v>
      </c>
      <c r="F208" s="25">
        <v>9283</v>
      </c>
      <c r="G208" s="25">
        <v>0.14899999999999999</v>
      </c>
      <c r="H208" s="25">
        <v>19</v>
      </c>
      <c r="I208" s="25">
        <v>83.2</v>
      </c>
      <c r="J208" s="25">
        <v>3.82</v>
      </c>
      <c r="K208" s="25">
        <v>0</v>
      </c>
      <c r="L208" s="25">
        <v>3.7</v>
      </c>
      <c r="M208" s="25">
        <v>671868.59</v>
      </c>
      <c r="N208" s="25">
        <v>71003.28</v>
      </c>
      <c r="O208" s="25">
        <f t="shared" si="18"/>
        <v>0</v>
      </c>
      <c r="P208" s="25">
        <f t="shared" si="19"/>
        <v>0</v>
      </c>
      <c r="Q208" s="25">
        <f t="shared" si="20"/>
        <v>0</v>
      </c>
      <c r="R208" s="25">
        <f t="shared" si="21"/>
        <v>0</v>
      </c>
      <c r="S208" s="25">
        <f t="shared" si="22"/>
        <v>1</v>
      </c>
      <c r="T208" s="25">
        <f t="shared" si="23"/>
        <v>0</v>
      </c>
    </row>
    <row r="209" spans="1:20">
      <c r="A209" s="25" t="s">
        <v>73</v>
      </c>
      <c r="B209" s="32">
        <v>45748</v>
      </c>
      <c r="C209" s="25" t="s">
        <v>15</v>
      </c>
      <c r="D209" s="25" t="s">
        <v>28</v>
      </c>
      <c r="E209" s="25">
        <v>56413.83</v>
      </c>
      <c r="F209" s="25">
        <v>8303</v>
      </c>
      <c r="G209" s="25">
        <v>0.11600000000000001</v>
      </c>
      <c r="H209" s="25">
        <v>18</v>
      </c>
      <c r="I209" s="25">
        <v>93.6</v>
      </c>
      <c r="J209" s="25">
        <v>2.7</v>
      </c>
      <c r="K209" s="25">
        <v>0</v>
      </c>
      <c r="L209" s="25">
        <v>3.7</v>
      </c>
      <c r="M209" s="25">
        <v>675917.63</v>
      </c>
      <c r="N209" s="25">
        <v>112564.75</v>
      </c>
      <c r="O209" s="25">
        <f t="shared" si="18"/>
        <v>0</v>
      </c>
      <c r="P209" s="25">
        <f t="shared" si="19"/>
        <v>0</v>
      </c>
      <c r="Q209" s="25">
        <f t="shared" si="20"/>
        <v>0</v>
      </c>
      <c r="R209" s="25">
        <f t="shared" si="21"/>
        <v>0</v>
      </c>
      <c r="S209" s="25">
        <f t="shared" si="22"/>
        <v>1</v>
      </c>
      <c r="T209" s="25">
        <f t="shared" si="23"/>
        <v>0</v>
      </c>
    </row>
    <row r="210" spans="1:20">
      <c r="A210" s="25" t="s">
        <v>74</v>
      </c>
      <c r="B210" s="32">
        <v>45658</v>
      </c>
      <c r="C210" s="25" t="s">
        <v>15</v>
      </c>
      <c r="D210" s="25" t="s">
        <v>18</v>
      </c>
      <c r="E210" s="25">
        <v>63457.19</v>
      </c>
      <c r="F210" s="25">
        <v>10125</v>
      </c>
      <c r="G210" s="25">
        <v>9.7000000000000003E-2</v>
      </c>
      <c r="H210" s="25">
        <v>24</v>
      </c>
      <c r="I210" s="25">
        <v>87</v>
      </c>
      <c r="J210" s="25">
        <v>3.84</v>
      </c>
      <c r="K210" s="25">
        <v>1</v>
      </c>
      <c r="L210" s="25">
        <v>3.7</v>
      </c>
      <c r="M210" s="25">
        <v>810446.53</v>
      </c>
      <c r="N210" s="25">
        <v>200575.34</v>
      </c>
      <c r="O210" s="25">
        <f t="shared" si="18"/>
        <v>0</v>
      </c>
      <c r="P210" s="25">
        <f t="shared" si="19"/>
        <v>0</v>
      </c>
      <c r="Q210" s="25">
        <f t="shared" si="20"/>
        <v>0</v>
      </c>
      <c r="R210" s="25">
        <f t="shared" si="21"/>
        <v>1</v>
      </c>
      <c r="S210" s="25">
        <f t="shared" si="22"/>
        <v>0</v>
      </c>
      <c r="T210" s="25">
        <f t="shared" si="23"/>
        <v>0</v>
      </c>
    </row>
    <row r="211" spans="1:20">
      <c r="A211" s="25" t="s">
        <v>74</v>
      </c>
      <c r="B211" s="32">
        <v>45689</v>
      </c>
      <c r="C211" s="25" t="s">
        <v>15</v>
      </c>
      <c r="D211" s="25" t="s">
        <v>18</v>
      </c>
      <c r="E211" s="25">
        <v>62949.7</v>
      </c>
      <c r="F211" s="25">
        <v>9458</v>
      </c>
      <c r="G211" s="25">
        <v>0.17100000000000001</v>
      </c>
      <c r="H211" s="25">
        <v>19</v>
      </c>
      <c r="I211" s="25">
        <v>84.9</v>
      </c>
      <c r="J211" s="25">
        <v>5.09</v>
      </c>
      <c r="K211" s="25">
        <v>0</v>
      </c>
      <c r="L211" s="25">
        <v>3.3</v>
      </c>
      <c r="M211" s="25">
        <v>691288.19</v>
      </c>
      <c r="N211" s="25">
        <v>159074.14000000001</v>
      </c>
      <c r="O211" s="25">
        <f t="shared" si="18"/>
        <v>0</v>
      </c>
      <c r="P211" s="25">
        <f t="shared" si="19"/>
        <v>0</v>
      </c>
      <c r="Q211" s="25">
        <f t="shared" si="20"/>
        <v>0</v>
      </c>
      <c r="R211" s="25">
        <f t="shared" si="21"/>
        <v>1</v>
      </c>
      <c r="S211" s="25">
        <f t="shared" si="22"/>
        <v>0</v>
      </c>
      <c r="T211" s="25">
        <f t="shared" si="23"/>
        <v>0</v>
      </c>
    </row>
    <row r="212" spans="1:20">
      <c r="A212" s="25" t="s">
        <v>74</v>
      </c>
      <c r="B212" s="32">
        <v>45717</v>
      </c>
      <c r="C212" s="25" t="s">
        <v>15</v>
      </c>
      <c r="D212" s="25" t="s">
        <v>18</v>
      </c>
      <c r="E212" s="25">
        <v>107970.19</v>
      </c>
      <c r="F212" s="25">
        <v>12870</v>
      </c>
      <c r="G212" s="25">
        <v>2.9000000000000001E-2</v>
      </c>
      <c r="H212" s="25">
        <v>31</v>
      </c>
      <c r="I212" s="25">
        <v>91.7</v>
      </c>
      <c r="J212" s="25">
        <v>3.82</v>
      </c>
      <c r="K212" s="25">
        <v>1</v>
      </c>
      <c r="L212" s="25">
        <v>3.7</v>
      </c>
      <c r="M212" s="25">
        <v>946833.54</v>
      </c>
      <c r="N212" s="25">
        <v>184540.31</v>
      </c>
      <c r="O212" s="25">
        <f t="shared" si="18"/>
        <v>0</v>
      </c>
      <c r="P212" s="25">
        <f t="shared" si="19"/>
        <v>0</v>
      </c>
      <c r="Q212" s="25">
        <f t="shared" si="20"/>
        <v>0</v>
      </c>
      <c r="R212" s="25">
        <f t="shared" si="21"/>
        <v>1</v>
      </c>
      <c r="S212" s="25">
        <f t="shared" si="22"/>
        <v>0</v>
      </c>
      <c r="T212" s="25">
        <f t="shared" si="23"/>
        <v>0</v>
      </c>
    </row>
    <row r="213" spans="1:20">
      <c r="A213" s="25" t="s">
        <v>74</v>
      </c>
      <c r="B213" s="32">
        <v>45748</v>
      </c>
      <c r="C213" s="25" t="s">
        <v>15</v>
      </c>
      <c r="D213" s="25" t="s">
        <v>18</v>
      </c>
      <c r="E213" s="25">
        <v>49405.75</v>
      </c>
      <c r="F213" s="25">
        <v>9752</v>
      </c>
      <c r="G213" s="25">
        <v>9.2999999999999999E-2</v>
      </c>
      <c r="H213" s="25">
        <v>21</v>
      </c>
      <c r="I213" s="25">
        <v>87</v>
      </c>
      <c r="J213" s="25">
        <v>12.28</v>
      </c>
      <c r="K213" s="25">
        <v>0</v>
      </c>
      <c r="L213" s="25">
        <v>4.0999999999999996</v>
      </c>
      <c r="M213" s="25">
        <v>761963.23</v>
      </c>
      <c r="N213" s="25">
        <v>150113.60999999999</v>
      </c>
      <c r="O213" s="25">
        <f t="shared" si="18"/>
        <v>0</v>
      </c>
      <c r="P213" s="25">
        <f t="shared" si="19"/>
        <v>0</v>
      </c>
      <c r="Q213" s="25">
        <f t="shared" si="20"/>
        <v>0</v>
      </c>
      <c r="R213" s="25">
        <f t="shared" si="21"/>
        <v>1</v>
      </c>
      <c r="S213" s="25">
        <f t="shared" si="22"/>
        <v>0</v>
      </c>
      <c r="T213" s="25">
        <f t="shared" si="23"/>
        <v>0</v>
      </c>
    </row>
    <row r="214" spans="1:20">
      <c r="A214" s="25" t="s">
        <v>75</v>
      </c>
      <c r="B214" s="32">
        <v>45658</v>
      </c>
      <c r="C214" s="25" t="s">
        <v>27</v>
      </c>
      <c r="D214" s="25" t="s">
        <v>16</v>
      </c>
      <c r="E214" s="25">
        <v>50887.46</v>
      </c>
      <c r="F214" s="25">
        <v>9505</v>
      </c>
      <c r="G214" s="25">
        <v>9.0999999999999998E-2</v>
      </c>
      <c r="H214" s="25">
        <v>25</v>
      </c>
      <c r="I214" s="25">
        <v>89.7</v>
      </c>
      <c r="J214" s="25">
        <v>2.8</v>
      </c>
      <c r="K214" s="25">
        <v>0</v>
      </c>
      <c r="L214" s="25">
        <v>4.3</v>
      </c>
      <c r="M214" s="25">
        <v>812152.6</v>
      </c>
      <c r="N214" s="25">
        <v>138419.43</v>
      </c>
      <c r="O214" s="25">
        <f t="shared" si="18"/>
        <v>0</v>
      </c>
      <c r="P214" s="25">
        <f t="shared" si="19"/>
        <v>0</v>
      </c>
      <c r="Q214" s="25">
        <f t="shared" si="20"/>
        <v>1</v>
      </c>
      <c r="R214" s="25">
        <f t="shared" si="21"/>
        <v>0</v>
      </c>
      <c r="S214" s="25">
        <f t="shared" si="22"/>
        <v>0</v>
      </c>
      <c r="T214" s="25">
        <f t="shared" si="23"/>
        <v>1</v>
      </c>
    </row>
    <row r="215" spans="1:20">
      <c r="A215" s="25" t="s">
        <v>75</v>
      </c>
      <c r="B215" s="32">
        <v>45689</v>
      </c>
      <c r="C215" s="25" t="s">
        <v>27</v>
      </c>
      <c r="D215" s="25" t="s">
        <v>16</v>
      </c>
      <c r="E215" s="25">
        <v>41819.449999999997</v>
      </c>
      <c r="F215" s="25">
        <v>9412</v>
      </c>
      <c r="G215" s="25">
        <v>0.15</v>
      </c>
      <c r="H215" s="25">
        <v>22</v>
      </c>
      <c r="I215" s="25">
        <v>91</v>
      </c>
      <c r="J215" s="25">
        <v>3.67</v>
      </c>
      <c r="K215" s="25">
        <v>0</v>
      </c>
      <c r="L215" s="25">
        <v>4.2</v>
      </c>
      <c r="M215" s="25">
        <v>804975.5</v>
      </c>
      <c r="N215" s="25">
        <v>140054.5</v>
      </c>
      <c r="O215" s="25">
        <f t="shared" si="18"/>
        <v>0</v>
      </c>
      <c r="P215" s="25">
        <f t="shared" si="19"/>
        <v>0</v>
      </c>
      <c r="Q215" s="25">
        <f t="shared" si="20"/>
        <v>1</v>
      </c>
      <c r="R215" s="25">
        <f t="shared" si="21"/>
        <v>0</v>
      </c>
      <c r="S215" s="25">
        <f t="shared" si="22"/>
        <v>0</v>
      </c>
      <c r="T215" s="25">
        <f t="shared" si="23"/>
        <v>1</v>
      </c>
    </row>
    <row r="216" spans="1:20">
      <c r="A216" s="25" t="s">
        <v>75</v>
      </c>
      <c r="B216" s="32">
        <v>45717</v>
      </c>
      <c r="C216" s="25" t="s">
        <v>27</v>
      </c>
      <c r="D216" s="25" t="s">
        <v>16</v>
      </c>
      <c r="E216" s="25">
        <v>35296.54</v>
      </c>
      <c r="F216" s="25">
        <v>9644</v>
      </c>
      <c r="G216" s="25">
        <v>0</v>
      </c>
      <c r="H216" s="25">
        <v>22</v>
      </c>
      <c r="I216" s="25">
        <v>88</v>
      </c>
      <c r="J216" s="25">
        <v>2.81</v>
      </c>
      <c r="K216" s="25">
        <v>0</v>
      </c>
      <c r="L216" s="25">
        <v>4.7</v>
      </c>
      <c r="M216" s="25">
        <v>752321.72</v>
      </c>
      <c r="N216" s="25">
        <v>137788.51</v>
      </c>
      <c r="O216" s="25">
        <f t="shared" si="18"/>
        <v>0</v>
      </c>
      <c r="P216" s="25">
        <f t="shared" si="19"/>
        <v>0</v>
      </c>
      <c r="Q216" s="25">
        <f t="shared" si="20"/>
        <v>1</v>
      </c>
      <c r="R216" s="25">
        <f t="shared" si="21"/>
        <v>0</v>
      </c>
      <c r="S216" s="25">
        <f t="shared" si="22"/>
        <v>0</v>
      </c>
      <c r="T216" s="25">
        <f t="shared" si="23"/>
        <v>1</v>
      </c>
    </row>
    <row r="217" spans="1:20">
      <c r="A217" s="25" t="s">
        <v>75</v>
      </c>
      <c r="B217" s="32">
        <v>45748</v>
      </c>
      <c r="C217" s="25" t="s">
        <v>27</v>
      </c>
      <c r="D217" s="25" t="s">
        <v>16</v>
      </c>
      <c r="E217" s="25">
        <v>47391.09</v>
      </c>
      <c r="F217" s="25">
        <v>11224</v>
      </c>
      <c r="G217" s="25">
        <v>0.14699999999999999</v>
      </c>
      <c r="H217" s="25">
        <v>25</v>
      </c>
      <c r="I217" s="25">
        <v>88.4</v>
      </c>
      <c r="J217" s="25">
        <v>2.44</v>
      </c>
      <c r="K217" s="25">
        <v>0</v>
      </c>
      <c r="L217" s="25">
        <v>4.9000000000000004</v>
      </c>
      <c r="M217" s="25">
        <v>836908.24</v>
      </c>
      <c r="N217" s="25">
        <v>141090.26</v>
      </c>
      <c r="O217" s="25">
        <f t="shared" si="18"/>
        <v>0</v>
      </c>
      <c r="P217" s="25">
        <f t="shared" si="19"/>
        <v>0</v>
      </c>
      <c r="Q217" s="25">
        <f t="shared" si="20"/>
        <v>1</v>
      </c>
      <c r="R217" s="25">
        <f t="shared" si="21"/>
        <v>0</v>
      </c>
      <c r="S217" s="25">
        <f t="shared" si="22"/>
        <v>0</v>
      </c>
      <c r="T217" s="25">
        <f t="shared" si="23"/>
        <v>1</v>
      </c>
    </row>
    <row r="218" spans="1:20">
      <c r="A218" s="25" t="s">
        <v>76</v>
      </c>
      <c r="B218" s="32">
        <v>45658</v>
      </c>
      <c r="C218" s="25" t="s">
        <v>20</v>
      </c>
      <c r="D218" s="25" t="s">
        <v>21</v>
      </c>
      <c r="E218" s="25">
        <v>69180.539999999994</v>
      </c>
      <c r="F218" s="25">
        <v>5394</v>
      </c>
      <c r="G218" s="25">
        <v>0.126</v>
      </c>
      <c r="H218" s="25">
        <v>12</v>
      </c>
      <c r="I218" s="25">
        <v>82.9</v>
      </c>
      <c r="J218" s="25">
        <v>3.27</v>
      </c>
      <c r="K218" s="25">
        <v>0</v>
      </c>
      <c r="L218" s="25">
        <v>3.3</v>
      </c>
      <c r="M218" s="25">
        <v>674289.1</v>
      </c>
      <c r="N218" s="25">
        <v>117773.79</v>
      </c>
      <c r="O218" s="25">
        <f t="shared" si="18"/>
        <v>1</v>
      </c>
      <c r="P218" s="25">
        <f t="shared" si="19"/>
        <v>0</v>
      </c>
      <c r="Q218" s="25">
        <f t="shared" si="20"/>
        <v>0</v>
      </c>
      <c r="R218" s="25">
        <f t="shared" si="21"/>
        <v>0</v>
      </c>
      <c r="S218" s="25">
        <f t="shared" si="22"/>
        <v>0</v>
      </c>
      <c r="T218" s="25">
        <f t="shared" si="23"/>
        <v>0</v>
      </c>
    </row>
    <row r="219" spans="1:20">
      <c r="A219" s="25" t="s">
        <v>76</v>
      </c>
      <c r="B219" s="32">
        <v>45689</v>
      </c>
      <c r="C219" s="25" t="s">
        <v>20</v>
      </c>
      <c r="D219" s="25" t="s">
        <v>21</v>
      </c>
      <c r="E219" s="25">
        <v>33987.33</v>
      </c>
      <c r="F219" s="25">
        <v>5014</v>
      </c>
      <c r="G219" s="25">
        <v>0.246</v>
      </c>
      <c r="H219" s="25">
        <v>17</v>
      </c>
      <c r="I219" s="25">
        <v>94.3</v>
      </c>
      <c r="J219" s="25">
        <v>10.34</v>
      </c>
      <c r="K219" s="25">
        <v>0</v>
      </c>
      <c r="L219" s="25">
        <v>3.9</v>
      </c>
      <c r="M219" s="25">
        <v>622892.42000000004</v>
      </c>
      <c r="N219" s="25">
        <v>101032.52</v>
      </c>
      <c r="O219" s="25">
        <f t="shared" si="18"/>
        <v>1</v>
      </c>
      <c r="P219" s="25">
        <f t="shared" si="19"/>
        <v>0</v>
      </c>
      <c r="Q219" s="25">
        <f t="shared" si="20"/>
        <v>0</v>
      </c>
      <c r="R219" s="25">
        <f t="shared" si="21"/>
        <v>0</v>
      </c>
      <c r="S219" s="25">
        <f t="shared" si="22"/>
        <v>0</v>
      </c>
      <c r="T219" s="25">
        <f t="shared" si="23"/>
        <v>0</v>
      </c>
    </row>
    <row r="220" spans="1:20">
      <c r="A220" s="25" t="s">
        <v>76</v>
      </c>
      <c r="B220" s="32">
        <v>45717</v>
      </c>
      <c r="C220" s="25" t="s">
        <v>20</v>
      </c>
      <c r="D220" s="25" t="s">
        <v>21</v>
      </c>
      <c r="E220" s="25">
        <v>58785.33</v>
      </c>
      <c r="F220" s="25">
        <v>4467</v>
      </c>
      <c r="G220" s="25">
        <v>0.22900000000000001</v>
      </c>
      <c r="H220" s="25">
        <v>14</v>
      </c>
      <c r="I220" s="25">
        <v>90.7</v>
      </c>
      <c r="J220" s="25">
        <v>1.92</v>
      </c>
      <c r="K220" s="25">
        <v>0</v>
      </c>
      <c r="L220" s="25">
        <v>3.7</v>
      </c>
      <c r="M220" s="25">
        <v>673348.56</v>
      </c>
      <c r="N220" s="25">
        <v>69464.59</v>
      </c>
      <c r="O220" s="25">
        <f t="shared" si="18"/>
        <v>1</v>
      </c>
      <c r="P220" s="25">
        <f t="shared" si="19"/>
        <v>0</v>
      </c>
      <c r="Q220" s="25">
        <f t="shared" si="20"/>
        <v>0</v>
      </c>
      <c r="R220" s="25">
        <f t="shared" si="21"/>
        <v>0</v>
      </c>
      <c r="S220" s="25">
        <f t="shared" si="22"/>
        <v>0</v>
      </c>
      <c r="T220" s="25">
        <f t="shared" si="23"/>
        <v>0</v>
      </c>
    </row>
    <row r="221" spans="1:20">
      <c r="A221" s="25" t="s">
        <v>76</v>
      </c>
      <c r="B221" s="32">
        <v>45748</v>
      </c>
      <c r="C221" s="25" t="s">
        <v>20</v>
      </c>
      <c r="D221" s="25" t="s">
        <v>21</v>
      </c>
      <c r="E221" s="25">
        <v>16451.849999999999</v>
      </c>
      <c r="F221" s="25">
        <v>4678</v>
      </c>
      <c r="G221" s="25">
        <v>0.13300000000000001</v>
      </c>
      <c r="H221" s="25">
        <v>11</v>
      </c>
      <c r="I221" s="25">
        <v>95.9</v>
      </c>
      <c r="J221" s="25">
        <v>3.1</v>
      </c>
      <c r="K221" s="25">
        <v>0</v>
      </c>
      <c r="L221" s="25">
        <v>3.9</v>
      </c>
      <c r="M221" s="25">
        <v>606278.30000000005</v>
      </c>
      <c r="N221" s="25">
        <v>102213.26</v>
      </c>
      <c r="O221" s="25">
        <f t="shared" si="18"/>
        <v>1</v>
      </c>
      <c r="P221" s="25">
        <f t="shared" si="19"/>
        <v>0</v>
      </c>
      <c r="Q221" s="25">
        <f t="shared" si="20"/>
        <v>0</v>
      </c>
      <c r="R221" s="25">
        <f t="shared" si="21"/>
        <v>0</v>
      </c>
      <c r="S221" s="25">
        <f t="shared" si="22"/>
        <v>0</v>
      </c>
      <c r="T221" s="25">
        <f t="shared" si="23"/>
        <v>0</v>
      </c>
    </row>
    <row r="222" spans="1:20">
      <c r="A222" s="25" t="s">
        <v>77</v>
      </c>
      <c r="B222" s="32">
        <v>45658</v>
      </c>
      <c r="C222" s="25" t="s">
        <v>15</v>
      </c>
      <c r="D222" s="25" t="s">
        <v>18</v>
      </c>
      <c r="E222" s="25">
        <v>53367.73</v>
      </c>
      <c r="F222" s="25">
        <v>7291</v>
      </c>
      <c r="G222" s="25">
        <v>0.14599999999999999</v>
      </c>
      <c r="H222" s="25">
        <v>18</v>
      </c>
      <c r="I222" s="25">
        <v>90.6</v>
      </c>
      <c r="J222" s="25">
        <v>6.34</v>
      </c>
      <c r="K222" s="25">
        <v>1</v>
      </c>
      <c r="L222" s="25">
        <v>3.8</v>
      </c>
      <c r="M222" s="25">
        <v>712219.81</v>
      </c>
      <c r="N222" s="25">
        <v>85906.54</v>
      </c>
      <c r="O222" s="25">
        <f t="shared" si="18"/>
        <v>0</v>
      </c>
      <c r="P222" s="25">
        <f t="shared" si="19"/>
        <v>0</v>
      </c>
      <c r="Q222" s="25">
        <f t="shared" si="20"/>
        <v>0</v>
      </c>
      <c r="R222" s="25">
        <f t="shared" si="21"/>
        <v>1</v>
      </c>
      <c r="S222" s="25">
        <f t="shared" si="22"/>
        <v>0</v>
      </c>
      <c r="T222" s="25">
        <f t="shared" si="23"/>
        <v>0</v>
      </c>
    </row>
    <row r="223" spans="1:20">
      <c r="A223" s="25" t="s">
        <v>77</v>
      </c>
      <c r="B223" s="32">
        <v>45689</v>
      </c>
      <c r="C223" s="25" t="s">
        <v>15</v>
      </c>
      <c r="D223" s="25" t="s">
        <v>18</v>
      </c>
      <c r="E223" s="25">
        <v>27194.639999999999</v>
      </c>
      <c r="F223" s="25">
        <v>7404</v>
      </c>
      <c r="G223" s="25">
        <v>8.7999999999999995E-2</v>
      </c>
      <c r="H223" s="25">
        <v>18</v>
      </c>
      <c r="I223" s="25">
        <v>90.2</v>
      </c>
      <c r="J223" s="25">
        <v>1.2</v>
      </c>
      <c r="K223" s="25">
        <v>0</v>
      </c>
      <c r="L223" s="25">
        <v>3.4</v>
      </c>
      <c r="M223" s="25">
        <v>672670.54</v>
      </c>
      <c r="N223" s="25">
        <v>132684.18</v>
      </c>
      <c r="O223" s="25">
        <f t="shared" si="18"/>
        <v>0</v>
      </c>
      <c r="P223" s="25">
        <f t="shared" si="19"/>
        <v>0</v>
      </c>
      <c r="Q223" s="25">
        <f t="shared" si="20"/>
        <v>0</v>
      </c>
      <c r="R223" s="25">
        <f t="shared" si="21"/>
        <v>1</v>
      </c>
      <c r="S223" s="25">
        <f t="shared" si="22"/>
        <v>0</v>
      </c>
      <c r="T223" s="25">
        <f t="shared" si="23"/>
        <v>0</v>
      </c>
    </row>
    <row r="224" spans="1:20">
      <c r="A224" s="25" t="s">
        <v>77</v>
      </c>
      <c r="B224" s="32">
        <v>45717</v>
      </c>
      <c r="C224" s="25" t="s">
        <v>15</v>
      </c>
      <c r="D224" s="25" t="s">
        <v>18</v>
      </c>
      <c r="E224" s="25">
        <v>66962.740000000005</v>
      </c>
      <c r="F224" s="25">
        <v>7880</v>
      </c>
      <c r="G224" s="25">
        <v>0.11600000000000001</v>
      </c>
      <c r="H224" s="25">
        <v>19</v>
      </c>
      <c r="I224" s="25">
        <v>90.4</v>
      </c>
      <c r="J224" s="25">
        <v>4.5</v>
      </c>
      <c r="K224" s="25">
        <v>0</v>
      </c>
      <c r="L224" s="25">
        <v>3.3</v>
      </c>
      <c r="M224" s="25">
        <v>732667.92</v>
      </c>
      <c r="N224" s="25">
        <v>128654.46</v>
      </c>
      <c r="O224" s="25">
        <f t="shared" si="18"/>
        <v>0</v>
      </c>
      <c r="P224" s="25">
        <f t="shared" si="19"/>
        <v>0</v>
      </c>
      <c r="Q224" s="25">
        <f t="shared" si="20"/>
        <v>0</v>
      </c>
      <c r="R224" s="25">
        <f t="shared" si="21"/>
        <v>1</v>
      </c>
      <c r="S224" s="25">
        <f t="shared" si="22"/>
        <v>0</v>
      </c>
      <c r="T224" s="25">
        <f t="shared" si="23"/>
        <v>0</v>
      </c>
    </row>
    <row r="225" spans="1:20">
      <c r="A225" s="25" t="s">
        <v>77</v>
      </c>
      <c r="B225" s="32">
        <v>45748</v>
      </c>
      <c r="C225" s="25" t="s">
        <v>15</v>
      </c>
      <c r="D225" s="25" t="s">
        <v>18</v>
      </c>
      <c r="E225" s="25">
        <v>73540.990000000005</v>
      </c>
      <c r="F225" s="25">
        <v>8773</v>
      </c>
      <c r="G225" s="25">
        <v>3.5000000000000003E-2</v>
      </c>
      <c r="H225" s="25">
        <v>21</v>
      </c>
      <c r="I225" s="25">
        <v>84.4</v>
      </c>
      <c r="J225" s="25">
        <v>6.68</v>
      </c>
      <c r="K225" s="25">
        <v>0</v>
      </c>
      <c r="L225" s="25">
        <v>3.6</v>
      </c>
      <c r="M225" s="25">
        <v>723531.4</v>
      </c>
      <c r="N225" s="25">
        <v>108794.85</v>
      </c>
      <c r="O225" s="25">
        <f t="shared" si="18"/>
        <v>0</v>
      </c>
      <c r="P225" s="25">
        <f t="shared" si="19"/>
        <v>0</v>
      </c>
      <c r="Q225" s="25">
        <f t="shared" si="20"/>
        <v>0</v>
      </c>
      <c r="R225" s="25">
        <f t="shared" si="21"/>
        <v>1</v>
      </c>
      <c r="S225" s="25">
        <f t="shared" si="22"/>
        <v>0</v>
      </c>
      <c r="T225" s="25">
        <f t="shared" si="23"/>
        <v>0</v>
      </c>
    </row>
    <row r="226" spans="1:20">
      <c r="A226" s="25" t="s">
        <v>78</v>
      </c>
      <c r="B226" s="32">
        <v>45658</v>
      </c>
      <c r="C226" s="25" t="s">
        <v>15</v>
      </c>
      <c r="D226" s="25" t="s">
        <v>28</v>
      </c>
      <c r="E226" s="25">
        <v>68212.289999999994</v>
      </c>
      <c r="F226" s="25">
        <v>4713</v>
      </c>
      <c r="G226" s="25">
        <v>0.19800000000000001</v>
      </c>
      <c r="H226" s="25">
        <v>15</v>
      </c>
      <c r="I226" s="25">
        <v>82.6</v>
      </c>
      <c r="J226" s="25">
        <v>4.07</v>
      </c>
      <c r="K226" s="25">
        <v>1</v>
      </c>
      <c r="L226" s="25">
        <v>3</v>
      </c>
      <c r="M226" s="25">
        <v>641564.6</v>
      </c>
      <c r="N226" s="25">
        <v>90468.96</v>
      </c>
      <c r="O226" s="25">
        <f t="shared" si="18"/>
        <v>0</v>
      </c>
      <c r="P226" s="25">
        <f t="shared" si="19"/>
        <v>0</v>
      </c>
      <c r="Q226" s="25">
        <f t="shared" si="20"/>
        <v>0</v>
      </c>
      <c r="R226" s="25">
        <f t="shared" si="21"/>
        <v>0</v>
      </c>
      <c r="S226" s="25">
        <f t="shared" si="22"/>
        <v>1</v>
      </c>
      <c r="T226" s="25">
        <f t="shared" si="23"/>
        <v>0</v>
      </c>
    </row>
    <row r="227" spans="1:20">
      <c r="A227" s="25" t="s">
        <v>78</v>
      </c>
      <c r="B227" s="32">
        <v>45689</v>
      </c>
      <c r="C227" s="25" t="s">
        <v>15</v>
      </c>
      <c r="D227" s="25" t="s">
        <v>28</v>
      </c>
      <c r="E227" s="25">
        <v>57225.98</v>
      </c>
      <c r="F227" s="25">
        <v>2842</v>
      </c>
      <c r="G227" s="25">
        <v>0.112</v>
      </c>
      <c r="H227" s="25">
        <v>10</v>
      </c>
      <c r="I227" s="25">
        <v>79.5</v>
      </c>
      <c r="J227" s="25">
        <v>5.45</v>
      </c>
      <c r="K227" s="25">
        <v>0</v>
      </c>
      <c r="L227" s="25">
        <v>3.4</v>
      </c>
      <c r="M227" s="25">
        <v>536545.49</v>
      </c>
      <c r="N227" s="25">
        <v>97917.45</v>
      </c>
      <c r="O227" s="25">
        <f t="shared" si="18"/>
        <v>0</v>
      </c>
      <c r="P227" s="25">
        <f t="shared" si="19"/>
        <v>0</v>
      </c>
      <c r="Q227" s="25">
        <f t="shared" si="20"/>
        <v>0</v>
      </c>
      <c r="R227" s="25">
        <f t="shared" si="21"/>
        <v>0</v>
      </c>
      <c r="S227" s="25">
        <f t="shared" si="22"/>
        <v>1</v>
      </c>
      <c r="T227" s="25">
        <f t="shared" si="23"/>
        <v>0</v>
      </c>
    </row>
    <row r="228" spans="1:20">
      <c r="A228" s="25" t="s">
        <v>78</v>
      </c>
      <c r="B228" s="32">
        <v>45717</v>
      </c>
      <c r="C228" s="25" t="s">
        <v>15</v>
      </c>
      <c r="D228" s="25" t="s">
        <v>28</v>
      </c>
      <c r="E228" s="25">
        <v>42932.02</v>
      </c>
      <c r="F228" s="25">
        <v>3872</v>
      </c>
      <c r="G228" s="25">
        <v>0.17100000000000001</v>
      </c>
      <c r="H228" s="25">
        <v>12</v>
      </c>
      <c r="I228" s="25">
        <v>83.2</v>
      </c>
      <c r="J228" s="25">
        <v>15.58</v>
      </c>
      <c r="K228" s="25">
        <v>0</v>
      </c>
      <c r="L228" s="25">
        <v>3.3</v>
      </c>
      <c r="M228" s="25">
        <v>527681.56000000006</v>
      </c>
      <c r="N228" s="25">
        <v>63153.05</v>
      </c>
      <c r="O228" s="25">
        <f t="shared" si="18"/>
        <v>0</v>
      </c>
      <c r="P228" s="25">
        <f t="shared" si="19"/>
        <v>0</v>
      </c>
      <c r="Q228" s="25">
        <f t="shared" si="20"/>
        <v>0</v>
      </c>
      <c r="R228" s="25">
        <f t="shared" si="21"/>
        <v>0</v>
      </c>
      <c r="S228" s="25">
        <f t="shared" si="22"/>
        <v>1</v>
      </c>
      <c r="T228" s="25">
        <f t="shared" si="23"/>
        <v>0</v>
      </c>
    </row>
    <row r="229" spans="1:20">
      <c r="A229" s="25" t="s">
        <v>78</v>
      </c>
      <c r="B229" s="32">
        <v>45748</v>
      </c>
      <c r="C229" s="25" t="s">
        <v>15</v>
      </c>
      <c r="D229" s="25" t="s">
        <v>28</v>
      </c>
      <c r="E229" s="25">
        <v>39341.449999999997</v>
      </c>
      <c r="F229" s="25">
        <v>1375</v>
      </c>
      <c r="G229" s="25">
        <v>9.2999999999999999E-2</v>
      </c>
      <c r="H229" s="25">
        <v>5</v>
      </c>
      <c r="I229" s="25">
        <v>95</v>
      </c>
      <c r="J229" s="25">
        <v>5.32</v>
      </c>
      <c r="K229" s="25">
        <v>0</v>
      </c>
      <c r="L229" s="25">
        <v>3.92</v>
      </c>
      <c r="M229" s="25">
        <v>529598.93999999994</v>
      </c>
      <c r="N229" s="25">
        <v>84334.33</v>
      </c>
      <c r="O229" s="25">
        <f t="shared" si="18"/>
        <v>0</v>
      </c>
      <c r="P229" s="25">
        <f t="shared" si="19"/>
        <v>0</v>
      </c>
      <c r="Q229" s="25">
        <f t="shared" si="20"/>
        <v>0</v>
      </c>
      <c r="R229" s="25">
        <f t="shared" si="21"/>
        <v>0</v>
      </c>
      <c r="S229" s="25">
        <f t="shared" si="22"/>
        <v>1</v>
      </c>
      <c r="T229" s="25">
        <f t="shared" si="23"/>
        <v>0</v>
      </c>
    </row>
    <row r="230" spans="1:20">
      <c r="A230" s="25" t="s">
        <v>79</v>
      </c>
      <c r="B230" s="32">
        <v>45658</v>
      </c>
      <c r="C230" s="25" t="s">
        <v>15</v>
      </c>
      <c r="D230" s="25" t="s">
        <v>18</v>
      </c>
      <c r="E230" s="25">
        <v>37324.230000000003</v>
      </c>
      <c r="F230" s="25">
        <v>5957</v>
      </c>
      <c r="G230" s="25">
        <v>7.0999999999999994E-2</v>
      </c>
      <c r="H230" s="25">
        <v>12</v>
      </c>
      <c r="I230" s="25">
        <v>85.9</v>
      </c>
      <c r="J230" s="25">
        <v>0.37</v>
      </c>
      <c r="K230" s="25">
        <v>0</v>
      </c>
      <c r="L230" s="25">
        <v>3.8</v>
      </c>
      <c r="M230" s="25">
        <v>570963.31000000006</v>
      </c>
      <c r="N230" s="25">
        <v>87342.25</v>
      </c>
      <c r="O230" s="25">
        <f t="shared" si="18"/>
        <v>0</v>
      </c>
      <c r="P230" s="25">
        <f t="shared" si="19"/>
        <v>0</v>
      </c>
      <c r="Q230" s="25">
        <f t="shared" si="20"/>
        <v>0</v>
      </c>
      <c r="R230" s="25">
        <f t="shared" si="21"/>
        <v>1</v>
      </c>
      <c r="S230" s="25">
        <f t="shared" si="22"/>
        <v>0</v>
      </c>
      <c r="T230" s="25">
        <f t="shared" si="23"/>
        <v>0</v>
      </c>
    </row>
    <row r="231" spans="1:20">
      <c r="A231" s="25" t="s">
        <v>79</v>
      </c>
      <c r="B231" s="32">
        <v>45689</v>
      </c>
      <c r="C231" s="25" t="s">
        <v>15</v>
      </c>
      <c r="D231" s="25" t="s">
        <v>18</v>
      </c>
      <c r="E231" s="25">
        <v>113736</v>
      </c>
      <c r="F231" s="25">
        <v>8961</v>
      </c>
      <c r="G231" s="25">
        <v>0.20200000000000001</v>
      </c>
      <c r="H231" s="25">
        <v>24</v>
      </c>
      <c r="I231" s="25">
        <v>86.2</v>
      </c>
      <c r="J231" s="25">
        <v>21.63</v>
      </c>
      <c r="K231" s="25">
        <v>0</v>
      </c>
      <c r="L231" s="25">
        <v>4</v>
      </c>
      <c r="M231" s="25">
        <v>870937.4</v>
      </c>
      <c r="N231" s="25">
        <v>175282.74</v>
      </c>
      <c r="O231" s="25">
        <f t="shared" si="18"/>
        <v>0</v>
      </c>
      <c r="P231" s="25">
        <f t="shared" si="19"/>
        <v>0</v>
      </c>
      <c r="Q231" s="25">
        <f t="shared" si="20"/>
        <v>0</v>
      </c>
      <c r="R231" s="25">
        <f t="shared" si="21"/>
        <v>1</v>
      </c>
      <c r="S231" s="25">
        <f t="shared" si="22"/>
        <v>0</v>
      </c>
      <c r="T231" s="25">
        <f t="shared" si="23"/>
        <v>0</v>
      </c>
    </row>
    <row r="232" spans="1:20">
      <c r="A232" s="25" t="s">
        <v>79</v>
      </c>
      <c r="B232" s="32">
        <v>45717</v>
      </c>
      <c r="C232" s="25" t="s">
        <v>15</v>
      </c>
      <c r="D232" s="25" t="s">
        <v>18</v>
      </c>
      <c r="E232" s="25">
        <v>33173.949999999997</v>
      </c>
      <c r="F232" s="25">
        <v>6545</v>
      </c>
      <c r="G232" s="25">
        <v>0.16900000000000001</v>
      </c>
      <c r="H232" s="25">
        <v>15</v>
      </c>
      <c r="I232" s="25">
        <v>84.4</v>
      </c>
      <c r="J232" s="25">
        <v>2.48</v>
      </c>
      <c r="K232" s="25">
        <v>0</v>
      </c>
      <c r="L232" s="25">
        <v>3.9</v>
      </c>
      <c r="M232" s="25">
        <v>596969.27</v>
      </c>
      <c r="N232" s="25">
        <v>105669.51</v>
      </c>
      <c r="O232" s="25">
        <f t="shared" si="18"/>
        <v>0</v>
      </c>
      <c r="P232" s="25">
        <f t="shared" si="19"/>
        <v>0</v>
      </c>
      <c r="Q232" s="25">
        <f t="shared" si="20"/>
        <v>0</v>
      </c>
      <c r="R232" s="25">
        <f t="shared" si="21"/>
        <v>1</v>
      </c>
      <c r="S232" s="25">
        <f t="shared" si="22"/>
        <v>0</v>
      </c>
      <c r="T232" s="25">
        <f t="shared" si="23"/>
        <v>0</v>
      </c>
    </row>
    <row r="233" spans="1:20">
      <c r="A233" s="25" t="s">
        <v>79</v>
      </c>
      <c r="B233" s="32">
        <v>45748</v>
      </c>
      <c r="C233" s="25" t="s">
        <v>15</v>
      </c>
      <c r="D233" s="25" t="s">
        <v>18</v>
      </c>
      <c r="E233" s="25">
        <v>25818.080000000002</v>
      </c>
      <c r="F233" s="25">
        <v>5457</v>
      </c>
      <c r="G233" s="25">
        <v>0</v>
      </c>
      <c r="H233" s="25">
        <v>11</v>
      </c>
      <c r="I233" s="25">
        <v>95.4</v>
      </c>
      <c r="J233" s="25">
        <v>4.5599999999999996</v>
      </c>
      <c r="K233" s="25">
        <v>0</v>
      </c>
      <c r="L233" s="25">
        <v>3.7</v>
      </c>
      <c r="M233" s="25">
        <v>647512.85</v>
      </c>
      <c r="N233" s="25">
        <v>153835.57</v>
      </c>
      <c r="O233" s="25">
        <f t="shared" si="18"/>
        <v>0</v>
      </c>
      <c r="P233" s="25">
        <f t="shared" si="19"/>
        <v>0</v>
      </c>
      <c r="Q233" s="25">
        <f t="shared" si="20"/>
        <v>0</v>
      </c>
      <c r="R233" s="25">
        <f t="shared" si="21"/>
        <v>1</v>
      </c>
      <c r="S233" s="25">
        <f t="shared" si="22"/>
        <v>0</v>
      </c>
      <c r="T233" s="25">
        <f t="shared" si="23"/>
        <v>0</v>
      </c>
    </row>
    <row r="234" spans="1:20">
      <c r="A234" s="25" t="s">
        <v>80</v>
      </c>
      <c r="B234" s="32">
        <v>45658</v>
      </c>
      <c r="C234" s="25" t="s">
        <v>27</v>
      </c>
      <c r="D234" s="25" t="s">
        <v>16</v>
      </c>
      <c r="E234" s="25">
        <v>47241.919999999998</v>
      </c>
      <c r="F234" s="25">
        <v>4264</v>
      </c>
      <c r="G234" s="25">
        <v>6.9000000000000006E-2</v>
      </c>
      <c r="H234" s="25">
        <v>13</v>
      </c>
      <c r="I234" s="25">
        <v>95.3</v>
      </c>
      <c r="J234" s="25">
        <v>0.85</v>
      </c>
      <c r="K234" s="25">
        <v>0</v>
      </c>
      <c r="L234" s="25">
        <v>4.3</v>
      </c>
      <c r="M234" s="25">
        <v>658072.14</v>
      </c>
      <c r="N234" s="25">
        <v>110595.89</v>
      </c>
      <c r="O234" s="25">
        <f t="shared" si="18"/>
        <v>0</v>
      </c>
      <c r="P234" s="25">
        <f t="shared" si="19"/>
        <v>0</v>
      </c>
      <c r="Q234" s="25">
        <f t="shared" si="20"/>
        <v>1</v>
      </c>
      <c r="R234" s="25">
        <f t="shared" si="21"/>
        <v>0</v>
      </c>
      <c r="S234" s="25">
        <f t="shared" si="22"/>
        <v>0</v>
      </c>
      <c r="T234" s="25">
        <f t="shared" si="23"/>
        <v>1</v>
      </c>
    </row>
    <row r="235" spans="1:20">
      <c r="A235" s="25" t="s">
        <v>80</v>
      </c>
      <c r="B235" s="32">
        <v>45689</v>
      </c>
      <c r="C235" s="25" t="s">
        <v>27</v>
      </c>
      <c r="D235" s="25" t="s">
        <v>16</v>
      </c>
      <c r="E235" s="25">
        <v>61650.79</v>
      </c>
      <c r="F235" s="25">
        <v>5321</v>
      </c>
      <c r="G235" s="25">
        <v>0.126</v>
      </c>
      <c r="H235" s="25">
        <v>17</v>
      </c>
      <c r="I235" s="25">
        <v>89.2</v>
      </c>
      <c r="J235" s="25">
        <v>2.13</v>
      </c>
      <c r="K235" s="25">
        <v>0</v>
      </c>
      <c r="L235" s="25">
        <v>4</v>
      </c>
      <c r="M235" s="25">
        <v>723305.11</v>
      </c>
      <c r="N235" s="25">
        <v>128468.7</v>
      </c>
      <c r="O235" s="25">
        <f t="shared" si="18"/>
        <v>0</v>
      </c>
      <c r="P235" s="25">
        <f t="shared" si="19"/>
        <v>0</v>
      </c>
      <c r="Q235" s="25">
        <f t="shared" si="20"/>
        <v>1</v>
      </c>
      <c r="R235" s="25">
        <f t="shared" si="21"/>
        <v>0</v>
      </c>
      <c r="S235" s="25">
        <f t="shared" si="22"/>
        <v>0</v>
      </c>
      <c r="T235" s="25">
        <f t="shared" si="23"/>
        <v>1</v>
      </c>
    </row>
    <row r="236" spans="1:20">
      <c r="A236" s="25" t="s">
        <v>80</v>
      </c>
      <c r="B236" s="32">
        <v>45717</v>
      </c>
      <c r="C236" s="25" t="s">
        <v>27</v>
      </c>
      <c r="D236" s="25" t="s">
        <v>16</v>
      </c>
      <c r="E236" s="25">
        <v>62582.71</v>
      </c>
      <c r="F236" s="25">
        <v>5479</v>
      </c>
      <c r="G236" s="25">
        <v>4.8000000000000001E-2</v>
      </c>
      <c r="H236" s="25">
        <v>16</v>
      </c>
      <c r="I236" s="25">
        <v>81.2</v>
      </c>
      <c r="J236" s="25">
        <v>1.46</v>
      </c>
      <c r="K236" s="25">
        <v>0</v>
      </c>
      <c r="L236" s="25">
        <v>4.5</v>
      </c>
      <c r="M236" s="25">
        <v>640666.53</v>
      </c>
      <c r="N236" s="25">
        <v>134919.16</v>
      </c>
      <c r="O236" s="25">
        <f t="shared" si="18"/>
        <v>0</v>
      </c>
      <c r="P236" s="25">
        <f t="shared" si="19"/>
        <v>0</v>
      </c>
      <c r="Q236" s="25">
        <f t="shared" si="20"/>
        <v>1</v>
      </c>
      <c r="R236" s="25">
        <f t="shared" si="21"/>
        <v>0</v>
      </c>
      <c r="S236" s="25">
        <f t="shared" si="22"/>
        <v>0</v>
      </c>
      <c r="T236" s="25">
        <f t="shared" si="23"/>
        <v>1</v>
      </c>
    </row>
    <row r="237" spans="1:20">
      <c r="A237" s="25" t="s">
        <v>80</v>
      </c>
      <c r="B237" s="32">
        <v>45748</v>
      </c>
      <c r="C237" s="25" t="s">
        <v>27</v>
      </c>
      <c r="D237" s="25" t="s">
        <v>16</v>
      </c>
      <c r="E237" s="25">
        <v>47944.14</v>
      </c>
      <c r="F237" s="25">
        <v>6169</v>
      </c>
      <c r="G237" s="25">
        <v>0.11899999999999999</v>
      </c>
      <c r="H237" s="25">
        <v>17</v>
      </c>
      <c r="I237" s="25">
        <v>92.2</v>
      </c>
      <c r="J237" s="25">
        <v>3.02</v>
      </c>
      <c r="K237" s="25">
        <v>0</v>
      </c>
      <c r="L237" s="25">
        <v>4.0999999999999996</v>
      </c>
      <c r="M237" s="25">
        <v>670629.48</v>
      </c>
      <c r="N237" s="25">
        <v>100140.8</v>
      </c>
      <c r="O237" s="25">
        <f t="shared" si="18"/>
        <v>0</v>
      </c>
      <c r="P237" s="25">
        <f t="shared" si="19"/>
        <v>0</v>
      </c>
      <c r="Q237" s="25">
        <f t="shared" si="20"/>
        <v>1</v>
      </c>
      <c r="R237" s="25">
        <f t="shared" si="21"/>
        <v>0</v>
      </c>
      <c r="S237" s="25">
        <f t="shared" si="22"/>
        <v>0</v>
      </c>
      <c r="T237" s="25">
        <f t="shared" si="23"/>
        <v>1</v>
      </c>
    </row>
    <row r="238" spans="1:20">
      <c r="A238" s="25" t="s">
        <v>81</v>
      </c>
      <c r="B238" s="32">
        <v>45658</v>
      </c>
      <c r="C238" s="25" t="s">
        <v>27</v>
      </c>
      <c r="D238" s="25" t="s">
        <v>28</v>
      </c>
      <c r="E238" s="25">
        <v>46495.4</v>
      </c>
      <c r="F238" s="25">
        <v>9908</v>
      </c>
      <c r="G238" s="25">
        <v>0.121</v>
      </c>
      <c r="H238" s="25">
        <v>22</v>
      </c>
      <c r="I238" s="25">
        <v>89.4</v>
      </c>
      <c r="J238" s="25">
        <v>3.22</v>
      </c>
      <c r="K238" s="25">
        <v>0</v>
      </c>
      <c r="L238" s="25">
        <v>3.7</v>
      </c>
      <c r="M238" s="25">
        <v>721079.35</v>
      </c>
      <c r="N238" s="25">
        <v>115295.05</v>
      </c>
      <c r="O238" s="25">
        <f t="shared" si="18"/>
        <v>0</v>
      </c>
      <c r="P238" s="25">
        <f t="shared" si="19"/>
        <v>0</v>
      </c>
      <c r="Q238" s="25">
        <f t="shared" si="20"/>
        <v>1</v>
      </c>
      <c r="R238" s="25">
        <f t="shared" si="21"/>
        <v>0</v>
      </c>
      <c r="S238" s="25">
        <f t="shared" si="22"/>
        <v>1</v>
      </c>
      <c r="T238" s="25">
        <f t="shared" si="23"/>
        <v>0</v>
      </c>
    </row>
    <row r="239" spans="1:20">
      <c r="A239" s="25" t="s">
        <v>81</v>
      </c>
      <c r="B239" s="32">
        <v>45689</v>
      </c>
      <c r="C239" s="25" t="s">
        <v>27</v>
      </c>
      <c r="D239" s="25" t="s">
        <v>28</v>
      </c>
      <c r="E239" s="25">
        <v>72961.95</v>
      </c>
      <c r="F239" s="25">
        <v>9996</v>
      </c>
      <c r="G239" s="25">
        <v>0.106</v>
      </c>
      <c r="H239" s="25">
        <v>22</v>
      </c>
      <c r="I239" s="25">
        <v>89.1</v>
      </c>
      <c r="J239" s="25">
        <v>15.66</v>
      </c>
      <c r="K239" s="25">
        <v>0</v>
      </c>
      <c r="L239" s="25">
        <v>3.4</v>
      </c>
      <c r="M239" s="25">
        <v>810355.02</v>
      </c>
      <c r="N239" s="25">
        <v>131510</v>
      </c>
      <c r="O239" s="25">
        <f t="shared" si="18"/>
        <v>0</v>
      </c>
      <c r="P239" s="25">
        <f t="shared" si="19"/>
        <v>0</v>
      </c>
      <c r="Q239" s="25">
        <f t="shared" si="20"/>
        <v>1</v>
      </c>
      <c r="R239" s="25">
        <f t="shared" si="21"/>
        <v>0</v>
      </c>
      <c r="S239" s="25">
        <f t="shared" si="22"/>
        <v>1</v>
      </c>
      <c r="T239" s="25">
        <f t="shared" si="23"/>
        <v>0</v>
      </c>
    </row>
    <row r="240" spans="1:20">
      <c r="A240" s="25" t="s">
        <v>81</v>
      </c>
      <c r="B240" s="32">
        <v>45717</v>
      </c>
      <c r="C240" s="25" t="s">
        <v>27</v>
      </c>
      <c r="D240" s="25" t="s">
        <v>28</v>
      </c>
      <c r="E240" s="25">
        <v>59060.05</v>
      </c>
      <c r="F240" s="25">
        <v>9702</v>
      </c>
      <c r="G240" s="25">
        <v>0.20100000000000001</v>
      </c>
      <c r="H240" s="25">
        <v>23</v>
      </c>
      <c r="I240" s="25">
        <v>80.900000000000006</v>
      </c>
      <c r="J240" s="25">
        <v>6.96</v>
      </c>
      <c r="K240" s="25">
        <v>0</v>
      </c>
      <c r="L240" s="25">
        <v>3.2</v>
      </c>
      <c r="M240" s="25">
        <v>761919.25</v>
      </c>
      <c r="N240" s="25">
        <v>111893.06</v>
      </c>
      <c r="O240" s="25">
        <f t="shared" si="18"/>
        <v>0</v>
      </c>
      <c r="P240" s="25">
        <f t="shared" si="19"/>
        <v>0</v>
      </c>
      <c r="Q240" s="25">
        <f t="shared" si="20"/>
        <v>1</v>
      </c>
      <c r="R240" s="25">
        <f t="shared" si="21"/>
        <v>0</v>
      </c>
      <c r="S240" s="25">
        <f t="shared" si="22"/>
        <v>1</v>
      </c>
      <c r="T240" s="25">
        <f t="shared" si="23"/>
        <v>0</v>
      </c>
    </row>
    <row r="241" spans="1:20">
      <c r="A241" s="25" t="s">
        <v>81</v>
      </c>
      <c r="B241" s="32">
        <v>45748</v>
      </c>
      <c r="C241" s="25" t="s">
        <v>27</v>
      </c>
      <c r="D241" s="25" t="s">
        <v>28</v>
      </c>
      <c r="E241" s="25">
        <v>26248.1</v>
      </c>
      <c r="F241" s="25">
        <v>9314</v>
      </c>
      <c r="G241" s="25">
        <v>0.186</v>
      </c>
      <c r="H241" s="25">
        <v>21</v>
      </c>
      <c r="I241" s="25">
        <v>83.7</v>
      </c>
      <c r="J241" s="25">
        <v>4.62</v>
      </c>
      <c r="K241" s="25">
        <v>0</v>
      </c>
      <c r="L241" s="25">
        <v>3.3</v>
      </c>
      <c r="M241" s="25">
        <v>737070.18</v>
      </c>
      <c r="N241" s="25">
        <v>117593.97</v>
      </c>
      <c r="O241" s="25">
        <f t="shared" si="18"/>
        <v>0</v>
      </c>
      <c r="P241" s="25">
        <f t="shared" si="19"/>
        <v>0</v>
      </c>
      <c r="Q241" s="25">
        <f t="shared" si="20"/>
        <v>1</v>
      </c>
      <c r="R241" s="25">
        <f t="shared" si="21"/>
        <v>0</v>
      </c>
      <c r="S241" s="25">
        <f t="shared" si="22"/>
        <v>1</v>
      </c>
      <c r="T241" s="25">
        <f t="shared" si="23"/>
        <v>0</v>
      </c>
    </row>
    <row r="242" spans="1:20">
      <c r="A242" s="25" t="s">
        <v>82</v>
      </c>
      <c r="B242" s="32">
        <v>45658</v>
      </c>
      <c r="C242" s="25" t="s">
        <v>24</v>
      </c>
      <c r="D242" s="25" t="s">
        <v>21</v>
      </c>
      <c r="E242" s="25">
        <v>69900.12</v>
      </c>
      <c r="F242" s="25">
        <v>8055</v>
      </c>
      <c r="G242" s="25">
        <v>0.28100000000000003</v>
      </c>
      <c r="H242" s="25">
        <v>22</v>
      </c>
      <c r="I242" s="25">
        <v>85.6</v>
      </c>
      <c r="J242" s="25">
        <v>10.68</v>
      </c>
      <c r="K242" s="25">
        <v>1</v>
      </c>
      <c r="L242" s="25">
        <v>2.9</v>
      </c>
      <c r="M242" s="25">
        <v>776992.93</v>
      </c>
      <c r="N242" s="25">
        <v>101598.32</v>
      </c>
      <c r="O242" s="25">
        <f t="shared" si="18"/>
        <v>0</v>
      </c>
      <c r="P242" s="25">
        <f t="shared" si="19"/>
        <v>1</v>
      </c>
      <c r="Q242" s="25">
        <f t="shared" si="20"/>
        <v>0</v>
      </c>
      <c r="R242" s="25">
        <f t="shared" si="21"/>
        <v>0</v>
      </c>
      <c r="S242" s="25">
        <f t="shared" si="22"/>
        <v>0</v>
      </c>
      <c r="T242" s="25">
        <f t="shared" si="23"/>
        <v>0</v>
      </c>
    </row>
    <row r="243" spans="1:20">
      <c r="A243" s="25" t="s">
        <v>82</v>
      </c>
      <c r="B243" s="32">
        <v>45689</v>
      </c>
      <c r="C243" s="25" t="s">
        <v>24</v>
      </c>
      <c r="D243" s="25" t="s">
        <v>21</v>
      </c>
      <c r="E243" s="25">
        <v>51781.599999999999</v>
      </c>
      <c r="F243" s="25">
        <v>5648</v>
      </c>
      <c r="G243" s="25">
        <v>5.8999999999999997E-2</v>
      </c>
      <c r="H243" s="25">
        <v>13</v>
      </c>
      <c r="I243" s="25">
        <v>85.5</v>
      </c>
      <c r="J243" s="25">
        <v>4.04</v>
      </c>
      <c r="K243" s="25">
        <v>0</v>
      </c>
      <c r="L243" s="25">
        <v>3.7</v>
      </c>
      <c r="M243" s="25">
        <v>676337.41</v>
      </c>
      <c r="N243" s="25">
        <v>104355.77</v>
      </c>
      <c r="O243" s="25">
        <f t="shared" si="18"/>
        <v>0</v>
      </c>
      <c r="P243" s="25">
        <f t="shared" si="19"/>
        <v>1</v>
      </c>
      <c r="Q243" s="25">
        <f t="shared" si="20"/>
        <v>0</v>
      </c>
      <c r="R243" s="25">
        <f t="shared" si="21"/>
        <v>0</v>
      </c>
      <c r="S243" s="25">
        <f t="shared" si="22"/>
        <v>0</v>
      </c>
      <c r="T243" s="25">
        <f t="shared" si="23"/>
        <v>0</v>
      </c>
    </row>
    <row r="244" spans="1:20">
      <c r="A244" s="25" t="s">
        <v>82</v>
      </c>
      <c r="B244" s="32">
        <v>45717</v>
      </c>
      <c r="C244" s="25" t="s">
        <v>24</v>
      </c>
      <c r="D244" s="25" t="s">
        <v>21</v>
      </c>
      <c r="E244" s="25">
        <v>70799.64</v>
      </c>
      <c r="F244" s="25">
        <v>10076</v>
      </c>
      <c r="G244" s="25">
        <v>0.152</v>
      </c>
      <c r="H244" s="25">
        <v>24</v>
      </c>
      <c r="I244" s="25">
        <v>84.8</v>
      </c>
      <c r="J244" s="25">
        <v>1.87</v>
      </c>
      <c r="K244" s="25">
        <v>0</v>
      </c>
      <c r="L244" s="25">
        <v>3.5</v>
      </c>
      <c r="M244" s="25">
        <v>828219.67</v>
      </c>
      <c r="N244" s="25">
        <v>179806.87</v>
      </c>
      <c r="O244" s="25">
        <f t="shared" si="18"/>
        <v>0</v>
      </c>
      <c r="P244" s="25">
        <f t="shared" si="19"/>
        <v>1</v>
      </c>
      <c r="Q244" s="25">
        <f t="shared" si="20"/>
        <v>0</v>
      </c>
      <c r="R244" s="25">
        <f t="shared" si="21"/>
        <v>0</v>
      </c>
      <c r="S244" s="25">
        <f t="shared" si="22"/>
        <v>0</v>
      </c>
      <c r="T244" s="25">
        <f t="shared" si="23"/>
        <v>0</v>
      </c>
    </row>
    <row r="245" spans="1:20">
      <c r="A245" s="25" t="s">
        <v>82</v>
      </c>
      <c r="B245" s="32">
        <v>45748</v>
      </c>
      <c r="C245" s="25" t="s">
        <v>24</v>
      </c>
      <c r="D245" s="25" t="s">
        <v>21</v>
      </c>
      <c r="E245" s="25">
        <v>53546.34</v>
      </c>
      <c r="F245" s="25">
        <v>8004</v>
      </c>
      <c r="G245" s="25">
        <v>0</v>
      </c>
      <c r="H245" s="25">
        <v>21</v>
      </c>
      <c r="I245" s="25">
        <v>95.2</v>
      </c>
      <c r="J245" s="25">
        <v>2.83</v>
      </c>
      <c r="K245" s="25">
        <v>0</v>
      </c>
      <c r="L245" s="25">
        <v>3</v>
      </c>
      <c r="M245" s="25">
        <v>763159.92</v>
      </c>
      <c r="N245" s="25">
        <v>177104.87</v>
      </c>
      <c r="O245" s="25">
        <f t="shared" si="18"/>
        <v>0</v>
      </c>
      <c r="P245" s="25">
        <f t="shared" si="19"/>
        <v>1</v>
      </c>
      <c r="Q245" s="25">
        <f t="shared" si="20"/>
        <v>0</v>
      </c>
      <c r="R245" s="25">
        <f t="shared" si="21"/>
        <v>0</v>
      </c>
      <c r="S245" s="25">
        <f t="shared" si="22"/>
        <v>0</v>
      </c>
      <c r="T245" s="25">
        <f t="shared" si="23"/>
        <v>0</v>
      </c>
    </row>
    <row r="246" spans="1:20">
      <c r="A246" s="25" t="s">
        <v>83</v>
      </c>
      <c r="B246" s="32">
        <v>45658</v>
      </c>
      <c r="C246" s="25" t="s">
        <v>15</v>
      </c>
      <c r="D246" s="25" t="s">
        <v>18</v>
      </c>
      <c r="E246" s="25">
        <v>76942.2</v>
      </c>
      <c r="F246" s="25">
        <v>8934</v>
      </c>
      <c r="G246" s="25">
        <v>8.4000000000000005E-2</v>
      </c>
      <c r="H246" s="25">
        <v>20</v>
      </c>
      <c r="I246" s="25">
        <v>91</v>
      </c>
      <c r="J246" s="25">
        <v>0.95</v>
      </c>
      <c r="K246" s="25">
        <v>0</v>
      </c>
      <c r="L246" s="25">
        <v>3.2</v>
      </c>
      <c r="M246" s="25">
        <v>802001.68</v>
      </c>
      <c r="N246" s="25">
        <v>159715.82</v>
      </c>
      <c r="O246" s="25">
        <f t="shared" si="18"/>
        <v>0</v>
      </c>
      <c r="P246" s="25">
        <f t="shared" si="19"/>
        <v>0</v>
      </c>
      <c r="Q246" s="25">
        <f t="shared" si="20"/>
        <v>0</v>
      </c>
      <c r="R246" s="25">
        <f t="shared" si="21"/>
        <v>1</v>
      </c>
      <c r="S246" s="25">
        <f t="shared" si="22"/>
        <v>0</v>
      </c>
      <c r="T246" s="25">
        <f t="shared" si="23"/>
        <v>0</v>
      </c>
    </row>
    <row r="247" spans="1:20">
      <c r="A247" s="25" t="s">
        <v>83</v>
      </c>
      <c r="B247" s="32">
        <v>45689</v>
      </c>
      <c r="C247" s="25" t="s">
        <v>15</v>
      </c>
      <c r="D247" s="25" t="s">
        <v>18</v>
      </c>
      <c r="E247" s="25">
        <v>48060.78</v>
      </c>
      <c r="F247" s="25">
        <v>8733</v>
      </c>
      <c r="G247" s="25">
        <v>0</v>
      </c>
      <c r="H247" s="25">
        <v>20</v>
      </c>
      <c r="I247" s="25">
        <v>89.9</v>
      </c>
      <c r="J247" s="25">
        <v>0.8</v>
      </c>
      <c r="K247" s="25">
        <v>0</v>
      </c>
      <c r="L247" s="25">
        <v>3.4</v>
      </c>
      <c r="M247" s="25">
        <v>750471.34</v>
      </c>
      <c r="N247" s="25">
        <v>133788.04</v>
      </c>
      <c r="O247" s="25">
        <f t="shared" si="18"/>
        <v>0</v>
      </c>
      <c r="P247" s="25">
        <f t="shared" si="19"/>
        <v>0</v>
      </c>
      <c r="Q247" s="25">
        <f t="shared" si="20"/>
        <v>0</v>
      </c>
      <c r="R247" s="25">
        <f t="shared" si="21"/>
        <v>1</v>
      </c>
      <c r="S247" s="25">
        <f t="shared" si="22"/>
        <v>0</v>
      </c>
      <c r="T247" s="25">
        <f t="shared" si="23"/>
        <v>0</v>
      </c>
    </row>
    <row r="248" spans="1:20">
      <c r="A248" s="25" t="s">
        <v>83</v>
      </c>
      <c r="B248" s="32">
        <v>45717</v>
      </c>
      <c r="C248" s="25" t="s">
        <v>15</v>
      </c>
      <c r="D248" s="25" t="s">
        <v>18</v>
      </c>
      <c r="E248" s="25">
        <v>57390.04</v>
      </c>
      <c r="F248" s="25">
        <v>7374</v>
      </c>
      <c r="G248" s="25">
        <v>0.21</v>
      </c>
      <c r="H248" s="25">
        <v>21</v>
      </c>
      <c r="I248" s="25">
        <v>91.8</v>
      </c>
      <c r="J248" s="25">
        <v>0.2</v>
      </c>
      <c r="K248" s="25">
        <v>0</v>
      </c>
      <c r="L248" s="25">
        <v>3.1</v>
      </c>
      <c r="M248" s="25">
        <v>679230.86</v>
      </c>
      <c r="N248" s="25">
        <v>106927.58</v>
      </c>
      <c r="O248" s="25">
        <f t="shared" si="18"/>
        <v>0</v>
      </c>
      <c r="P248" s="25">
        <f t="shared" si="19"/>
        <v>0</v>
      </c>
      <c r="Q248" s="25">
        <f t="shared" si="20"/>
        <v>0</v>
      </c>
      <c r="R248" s="25">
        <f t="shared" si="21"/>
        <v>1</v>
      </c>
      <c r="S248" s="25">
        <f t="shared" si="22"/>
        <v>0</v>
      </c>
      <c r="T248" s="25">
        <f t="shared" si="23"/>
        <v>0</v>
      </c>
    </row>
    <row r="249" spans="1:20">
      <c r="A249" s="25" t="s">
        <v>83</v>
      </c>
      <c r="B249" s="32">
        <v>45748</v>
      </c>
      <c r="C249" s="25" t="s">
        <v>15</v>
      </c>
      <c r="D249" s="25" t="s">
        <v>18</v>
      </c>
      <c r="E249" s="25">
        <v>21536.18</v>
      </c>
      <c r="F249" s="25">
        <v>8119</v>
      </c>
      <c r="G249" s="25">
        <v>0.22700000000000001</v>
      </c>
      <c r="H249" s="25">
        <v>20</v>
      </c>
      <c r="I249" s="25">
        <v>90.4</v>
      </c>
      <c r="J249" s="25">
        <v>1.7</v>
      </c>
      <c r="K249" s="25">
        <v>0</v>
      </c>
      <c r="L249" s="25">
        <v>3.3</v>
      </c>
      <c r="M249" s="25">
        <v>679888.74</v>
      </c>
      <c r="N249" s="25">
        <v>83406.89</v>
      </c>
      <c r="O249" s="25">
        <f t="shared" si="18"/>
        <v>0</v>
      </c>
      <c r="P249" s="25">
        <f t="shared" si="19"/>
        <v>0</v>
      </c>
      <c r="Q249" s="25">
        <f t="shared" si="20"/>
        <v>0</v>
      </c>
      <c r="R249" s="25">
        <f t="shared" si="21"/>
        <v>1</v>
      </c>
      <c r="S249" s="25">
        <f t="shared" si="22"/>
        <v>0</v>
      </c>
      <c r="T249" s="25">
        <f t="shared" si="23"/>
        <v>0</v>
      </c>
    </row>
    <row r="250" spans="1:20">
      <c r="A250" s="25" t="s">
        <v>84</v>
      </c>
      <c r="B250" s="32">
        <v>45658</v>
      </c>
      <c r="C250" s="25" t="s">
        <v>20</v>
      </c>
      <c r="D250" s="25" t="s">
        <v>18</v>
      </c>
      <c r="E250" s="25">
        <v>40923.67</v>
      </c>
      <c r="F250" s="25">
        <v>3875</v>
      </c>
      <c r="G250" s="25">
        <v>0.15</v>
      </c>
      <c r="H250" s="25">
        <v>10</v>
      </c>
      <c r="I250" s="25">
        <v>96.1</v>
      </c>
      <c r="J250" s="25">
        <v>4.5599999999999996</v>
      </c>
      <c r="K250" s="25">
        <v>0</v>
      </c>
      <c r="L250" s="25">
        <v>3.8</v>
      </c>
      <c r="M250" s="25">
        <v>606783.67000000004</v>
      </c>
      <c r="N250" s="25">
        <v>74515.87</v>
      </c>
      <c r="O250" s="25">
        <f t="shared" si="18"/>
        <v>1</v>
      </c>
      <c r="P250" s="25">
        <f t="shared" si="19"/>
        <v>0</v>
      </c>
      <c r="Q250" s="25">
        <f t="shared" si="20"/>
        <v>0</v>
      </c>
      <c r="R250" s="25">
        <f t="shared" si="21"/>
        <v>1</v>
      </c>
      <c r="S250" s="25">
        <f t="shared" si="22"/>
        <v>0</v>
      </c>
      <c r="T250" s="25">
        <f t="shared" si="23"/>
        <v>0</v>
      </c>
    </row>
    <row r="251" spans="1:20">
      <c r="A251" s="25" t="s">
        <v>84</v>
      </c>
      <c r="B251" s="32">
        <v>45689</v>
      </c>
      <c r="C251" s="25" t="s">
        <v>20</v>
      </c>
      <c r="D251" s="25" t="s">
        <v>18</v>
      </c>
      <c r="E251" s="25">
        <v>72932.55</v>
      </c>
      <c r="F251" s="25">
        <v>5765</v>
      </c>
      <c r="G251" s="25">
        <v>2.5999999999999999E-2</v>
      </c>
      <c r="H251" s="25">
        <v>17</v>
      </c>
      <c r="I251" s="25">
        <v>81.8</v>
      </c>
      <c r="J251" s="25">
        <v>5.0999999999999996</v>
      </c>
      <c r="K251" s="25">
        <v>0</v>
      </c>
      <c r="L251" s="25">
        <v>3.6</v>
      </c>
      <c r="M251" s="25">
        <v>642751.42000000004</v>
      </c>
      <c r="N251" s="25">
        <v>131942.15</v>
      </c>
      <c r="O251" s="25">
        <f t="shared" si="18"/>
        <v>1</v>
      </c>
      <c r="P251" s="25">
        <f t="shared" si="19"/>
        <v>0</v>
      </c>
      <c r="Q251" s="25">
        <f t="shared" si="20"/>
        <v>0</v>
      </c>
      <c r="R251" s="25">
        <f t="shared" si="21"/>
        <v>1</v>
      </c>
      <c r="S251" s="25">
        <f t="shared" si="22"/>
        <v>0</v>
      </c>
      <c r="T251" s="25">
        <f t="shared" si="23"/>
        <v>0</v>
      </c>
    </row>
    <row r="252" spans="1:20">
      <c r="A252" s="25" t="s">
        <v>84</v>
      </c>
      <c r="B252" s="32">
        <v>45717</v>
      </c>
      <c r="C252" s="25" t="s">
        <v>20</v>
      </c>
      <c r="D252" s="25" t="s">
        <v>18</v>
      </c>
      <c r="E252" s="25">
        <v>38361.93</v>
      </c>
      <c r="F252" s="25">
        <v>6322</v>
      </c>
      <c r="G252" s="25">
        <v>0.27300000000000002</v>
      </c>
      <c r="H252" s="25">
        <v>15</v>
      </c>
      <c r="I252" s="25">
        <v>88.4</v>
      </c>
      <c r="J252" s="25">
        <v>0.83</v>
      </c>
      <c r="K252" s="25">
        <v>0</v>
      </c>
      <c r="L252" s="25">
        <v>4</v>
      </c>
      <c r="M252" s="25">
        <v>647953.78</v>
      </c>
      <c r="N252" s="25">
        <v>118497.43</v>
      </c>
      <c r="O252" s="25">
        <f t="shared" si="18"/>
        <v>1</v>
      </c>
      <c r="P252" s="25">
        <f t="shared" si="19"/>
        <v>0</v>
      </c>
      <c r="Q252" s="25">
        <f t="shared" si="20"/>
        <v>0</v>
      </c>
      <c r="R252" s="25">
        <f t="shared" si="21"/>
        <v>1</v>
      </c>
      <c r="S252" s="25">
        <f t="shared" si="22"/>
        <v>0</v>
      </c>
      <c r="T252" s="25">
        <f t="shared" si="23"/>
        <v>0</v>
      </c>
    </row>
    <row r="253" spans="1:20">
      <c r="A253" s="25" t="s">
        <v>84</v>
      </c>
      <c r="B253" s="32">
        <v>45748</v>
      </c>
      <c r="C253" s="25" t="s">
        <v>20</v>
      </c>
      <c r="D253" s="25" t="s">
        <v>18</v>
      </c>
      <c r="E253" s="25">
        <v>97480.94</v>
      </c>
      <c r="F253" s="25">
        <v>6840</v>
      </c>
      <c r="G253" s="25">
        <v>8.6999999999999994E-2</v>
      </c>
      <c r="H253" s="25">
        <v>14</v>
      </c>
      <c r="I253" s="25">
        <v>79.2</v>
      </c>
      <c r="J253" s="25">
        <v>1.1399999999999999</v>
      </c>
      <c r="K253" s="25">
        <v>0</v>
      </c>
      <c r="L253" s="25">
        <v>4</v>
      </c>
      <c r="M253" s="25">
        <v>729440.45</v>
      </c>
      <c r="N253" s="25">
        <v>87614.29</v>
      </c>
      <c r="O253" s="25">
        <f t="shared" si="18"/>
        <v>1</v>
      </c>
      <c r="P253" s="25">
        <f t="shared" si="19"/>
        <v>0</v>
      </c>
      <c r="Q253" s="25">
        <f t="shared" si="20"/>
        <v>0</v>
      </c>
      <c r="R253" s="25">
        <f t="shared" si="21"/>
        <v>1</v>
      </c>
      <c r="S253" s="25">
        <f t="shared" si="22"/>
        <v>0</v>
      </c>
      <c r="T253" s="25">
        <f t="shared" si="23"/>
        <v>0</v>
      </c>
    </row>
    <row r="254" spans="1:20">
      <c r="A254" s="25" t="s">
        <v>85</v>
      </c>
      <c r="B254" s="32">
        <v>45658</v>
      </c>
      <c r="C254" s="25" t="s">
        <v>24</v>
      </c>
      <c r="D254" s="25" t="s">
        <v>21</v>
      </c>
      <c r="E254" s="25">
        <v>81801.8</v>
      </c>
      <c r="F254" s="25">
        <v>6782</v>
      </c>
      <c r="G254" s="25">
        <v>0.05</v>
      </c>
      <c r="H254" s="25">
        <v>16</v>
      </c>
      <c r="I254" s="25">
        <v>99</v>
      </c>
      <c r="J254" s="25">
        <v>9.5399999999999991</v>
      </c>
      <c r="K254" s="25">
        <v>0</v>
      </c>
      <c r="L254" s="25">
        <v>3.7</v>
      </c>
      <c r="M254" s="25">
        <v>764949</v>
      </c>
      <c r="N254" s="25">
        <v>148322.43</v>
      </c>
      <c r="O254" s="25">
        <f t="shared" si="18"/>
        <v>0</v>
      </c>
      <c r="P254" s="25">
        <f t="shared" si="19"/>
        <v>1</v>
      </c>
      <c r="Q254" s="25">
        <f t="shared" si="20"/>
        <v>0</v>
      </c>
      <c r="R254" s="25">
        <f t="shared" si="21"/>
        <v>0</v>
      </c>
      <c r="S254" s="25">
        <f t="shared" si="22"/>
        <v>0</v>
      </c>
      <c r="T254" s="25">
        <f t="shared" si="23"/>
        <v>0</v>
      </c>
    </row>
    <row r="255" spans="1:20">
      <c r="A255" s="25" t="s">
        <v>85</v>
      </c>
      <c r="B255" s="32">
        <v>45689</v>
      </c>
      <c r="C255" s="25" t="s">
        <v>24</v>
      </c>
      <c r="D255" s="25" t="s">
        <v>21</v>
      </c>
      <c r="E255" s="25">
        <v>63582.11</v>
      </c>
      <c r="F255" s="25">
        <v>6856</v>
      </c>
      <c r="G255" s="25">
        <v>7.3999999999999996E-2</v>
      </c>
      <c r="H255" s="25">
        <v>17</v>
      </c>
      <c r="I255" s="25">
        <v>89.5</v>
      </c>
      <c r="J255" s="25">
        <v>5.48</v>
      </c>
      <c r="K255" s="25">
        <v>0</v>
      </c>
      <c r="L255" s="25">
        <v>3.2</v>
      </c>
      <c r="M255" s="25">
        <v>799046.94</v>
      </c>
      <c r="N255" s="25">
        <v>144553.64000000001</v>
      </c>
      <c r="O255" s="25">
        <f t="shared" si="18"/>
        <v>0</v>
      </c>
      <c r="P255" s="25">
        <f t="shared" si="19"/>
        <v>1</v>
      </c>
      <c r="Q255" s="25">
        <f t="shared" si="20"/>
        <v>0</v>
      </c>
      <c r="R255" s="25">
        <f t="shared" si="21"/>
        <v>0</v>
      </c>
      <c r="S255" s="25">
        <f t="shared" si="22"/>
        <v>0</v>
      </c>
      <c r="T255" s="25">
        <f t="shared" si="23"/>
        <v>0</v>
      </c>
    </row>
    <row r="256" spans="1:20">
      <c r="A256" s="25" t="s">
        <v>85</v>
      </c>
      <c r="B256" s="32">
        <v>45717</v>
      </c>
      <c r="C256" s="25" t="s">
        <v>24</v>
      </c>
      <c r="D256" s="25" t="s">
        <v>21</v>
      </c>
      <c r="E256" s="25">
        <v>75412.740000000005</v>
      </c>
      <c r="F256" s="25">
        <v>5641</v>
      </c>
      <c r="G256" s="25">
        <v>5.8999999999999997E-2</v>
      </c>
      <c r="H256" s="25">
        <v>13</v>
      </c>
      <c r="I256" s="25">
        <v>87.9</v>
      </c>
      <c r="J256" s="25">
        <v>0.84</v>
      </c>
      <c r="K256" s="25">
        <v>0</v>
      </c>
      <c r="L256" s="25">
        <v>3.6</v>
      </c>
      <c r="M256" s="25">
        <v>720079.54</v>
      </c>
      <c r="N256" s="25">
        <v>119499.47</v>
      </c>
      <c r="O256" s="25">
        <f t="shared" si="18"/>
        <v>0</v>
      </c>
      <c r="P256" s="25">
        <f t="shared" si="19"/>
        <v>1</v>
      </c>
      <c r="Q256" s="25">
        <f t="shared" si="20"/>
        <v>0</v>
      </c>
      <c r="R256" s="25">
        <f t="shared" si="21"/>
        <v>0</v>
      </c>
      <c r="S256" s="25">
        <f t="shared" si="22"/>
        <v>0</v>
      </c>
      <c r="T256" s="25">
        <f t="shared" si="23"/>
        <v>0</v>
      </c>
    </row>
    <row r="257" spans="1:20">
      <c r="A257" s="25" t="s">
        <v>85</v>
      </c>
      <c r="B257" s="32">
        <v>45748</v>
      </c>
      <c r="C257" s="25" t="s">
        <v>24</v>
      </c>
      <c r="D257" s="25" t="s">
        <v>21</v>
      </c>
      <c r="E257" s="25">
        <v>36290.080000000002</v>
      </c>
      <c r="F257" s="25">
        <v>5787</v>
      </c>
      <c r="G257" s="25">
        <v>0</v>
      </c>
      <c r="H257" s="25">
        <v>17</v>
      </c>
      <c r="I257" s="25">
        <v>88.3</v>
      </c>
      <c r="J257" s="25">
        <v>4.1900000000000004</v>
      </c>
      <c r="K257" s="25">
        <v>0</v>
      </c>
      <c r="L257" s="25">
        <v>4.0999999999999996</v>
      </c>
      <c r="M257" s="25">
        <v>612390.14</v>
      </c>
      <c r="N257" s="25">
        <v>108985.74</v>
      </c>
      <c r="O257" s="25">
        <f t="shared" si="18"/>
        <v>0</v>
      </c>
      <c r="P257" s="25">
        <f t="shared" si="19"/>
        <v>1</v>
      </c>
      <c r="Q257" s="25">
        <f t="shared" si="20"/>
        <v>0</v>
      </c>
      <c r="R257" s="25">
        <f t="shared" si="21"/>
        <v>0</v>
      </c>
      <c r="S257" s="25">
        <f t="shared" si="22"/>
        <v>0</v>
      </c>
      <c r="T257" s="25">
        <f t="shared" si="23"/>
        <v>0</v>
      </c>
    </row>
    <row r="258" spans="1:20">
      <c r="A258" s="25" t="s">
        <v>86</v>
      </c>
      <c r="B258" s="32">
        <v>45658</v>
      </c>
      <c r="C258" s="25" t="s">
        <v>24</v>
      </c>
      <c r="D258" s="25" t="s">
        <v>28</v>
      </c>
      <c r="E258" s="25">
        <v>65272.58</v>
      </c>
      <c r="F258" s="25">
        <v>8165</v>
      </c>
      <c r="G258" s="25">
        <v>5.0999999999999997E-2</v>
      </c>
      <c r="H258" s="25">
        <v>19</v>
      </c>
      <c r="I258" s="25">
        <v>87.8</v>
      </c>
      <c r="J258" s="25">
        <v>1.26</v>
      </c>
      <c r="K258" s="25">
        <v>1</v>
      </c>
      <c r="L258" s="25">
        <v>4.3</v>
      </c>
      <c r="M258" s="25">
        <v>840108.12</v>
      </c>
      <c r="N258" s="25">
        <v>126587.01</v>
      </c>
      <c r="O258" s="25">
        <f t="shared" si="18"/>
        <v>0</v>
      </c>
      <c r="P258" s="25">
        <f t="shared" si="19"/>
        <v>1</v>
      </c>
      <c r="Q258" s="25">
        <f t="shared" si="20"/>
        <v>0</v>
      </c>
      <c r="R258" s="25">
        <f t="shared" si="21"/>
        <v>0</v>
      </c>
      <c r="S258" s="25">
        <f t="shared" si="22"/>
        <v>1</v>
      </c>
      <c r="T258" s="25">
        <f t="shared" si="23"/>
        <v>0</v>
      </c>
    </row>
    <row r="259" spans="1:20">
      <c r="A259" s="25" t="s">
        <v>86</v>
      </c>
      <c r="B259" s="32">
        <v>45689</v>
      </c>
      <c r="C259" s="25" t="s">
        <v>24</v>
      </c>
      <c r="D259" s="25" t="s">
        <v>28</v>
      </c>
      <c r="E259" s="25">
        <v>28670.43</v>
      </c>
      <c r="F259" s="25">
        <v>7574</v>
      </c>
      <c r="G259" s="25">
        <v>0.114</v>
      </c>
      <c r="H259" s="25">
        <v>19</v>
      </c>
      <c r="I259" s="25">
        <v>82.7</v>
      </c>
      <c r="J259" s="25">
        <v>2.74</v>
      </c>
      <c r="K259" s="25">
        <v>0</v>
      </c>
      <c r="L259" s="25">
        <v>4.5999999999999996</v>
      </c>
      <c r="M259" s="25">
        <v>697888.09</v>
      </c>
      <c r="N259" s="25">
        <v>116249.87</v>
      </c>
      <c r="O259" s="25">
        <f t="shared" ref="O259:O321" si="24">IF(C259="North",1,0)</f>
        <v>0</v>
      </c>
      <c r="P259" s="25">
        <f t="shared" ref="P259:P321" si="25">IF(C259="South",1,0)</f>
        <v>1</v>
      </c>
      <c r="Q259" s="25">
        <f t="shared" ref="Q259:Q321" si="26">IF(C259="West",1,0)</f>
        <v>0</v>
      </c>
      <c r="R259" s="25">
        <f t="shared" ref="R259:R321" si="27">IF(D259="High Street",1,0)</f>
        <v>0</v>
      </c>
      <c r="S259" s="25">
        <f t="shared" ref="S259:S321" si="28">IF(D259="Mall",1,0)</f>
        <v>1</v>
      </c>
      <c r="T259" s="25">
        <f t="shared" ref="T259:T321" si="29">IF(D259="Residential",1,0)</f>
        <v>0</v>
      </c>
    </row>
    <row r="260" spans="1:20">
      <c r="A260" s="25" t="s">
        <v>86</v>
      </c>
      <c r="B260" s="32">
        <v>45717</v>
      </c>
      <c r="C260" s="25" t="s">
        <v>24</v>
      </c>
      <c r="D260" s="25" t="s">
        <v>28</v>
      </c>
      <c r="E260" s="25">
        <v>44189.34</v>
      </c>
      <c r="F260" s="25">
        <v>8634</v>
      </c>
      <c r="G260" s="25">
        <v>0.14299999999999999</v>
      </c>
      <c r="H260" s="25">
        <v>19</v>
      </c>
      <c r="I260" s="25">
        <v>87.5</v>
      </c>
      <c r="J260" s="25">
        <v>3.69</v>
      </c>
      <c r="K260" s="25">
        <v>0</v>
      </c>
      <c r="L260" s="25">
        <v>4.4000000000000004</v>
      </c>
      <c r="M260" s="25">
        <v>746115.59</v>
      </c>
      <c r="N260" s="25">
        <v>94662.96</v>
      </c>
      <c r="O260" s="25">
        <f t="shared" si="24"/>
        <v>0</v>
      </c>
      <c r="P260" s="25">
        <f t="shared" si="25"/>
        <v>1</v>
      </c>
      <c r="Q260" s="25">
        <f t="shared" si="26"/>
        <v>0</v>
      </c>
      <c r="R260" s="25">
        <f t="shared" si="27"/>
        <v>0</v>
      </c>
      <c r="S260" s="25">
        <f t="shared" si="28"/>
        <v>1</v>
      </c>
      <c r="T260" s="25">
        <f t="shared" si="29"/>
        <v>0</v>
      </c>
    </row>
    <row r="261" spans="1:20">
      <c r="A261" s="25" t="s">
        <v>86</v>
      </c>
      <c r="B261" s="32">
        <v>45748</v>
      </c>
      <c r="C261" s="25" t="s">
        <v>24</v>
      </c>
      <c r="D261" s="25" t="s">
        <v>28</v>
      </c>
      <c r="E261" s="25">
        <v>38397.82</v>
      </c>
      <c r="F261" s="25">
        <v>7836</v>
      </c>
      <c r="G261" s="25">
        <v>7.0000000000000001E-3</v>
      </c>
      <c r="H261" s="25">
        <v>21</v>
      </c>
      <c r="I261" s="25">
        <v>92.2</v>
      </c>
      <c r="J261" s="25">
        <v>1.82</v>
      </c>
      <c r="K261" s="25">
        <v>0</v>
      </c>
      <c r="L261" s="25">
        <v>3.6</v>
      </c>
      <c r="M261" s="25">
        <v>776110.32</v>
      </c>
      <c r="N261" s="25">
        <v>139676.21</v>
      </c>
      <c r="O261" s="25">
        <f t="shared" si="24"/>
        <v>0</v>
      </c>
      <c r="P261" s="25">
        <f t="shared" si="25"/>
        <v>1</v>
      </c>
      <c r="Q261" s="25">
        <f t="shared" si="26"/>
        <v>0</v>
      </c>
      <c r="R261" s="25">
        <f t="shared" si="27"/>
        <v>0</v>
      </c>
      <c r="S261" s="25">
        <f t="shared" si="28"/>
        <v>1</v>
      </c>
      <c r="T261" s="25">
        <f t="shared" si="29"/>
        <v>0</v>
      </c>
    </row>
    <row r="262" spans="1:20">
      <c r="A262" s="25" t="s">
        <v>87</v>
      </c>
      <c r="B262" s="32">
        <v>45658</v>
      </c>
      <c r="C262" s="25" t="s">
        <v>27</v>
      </c>
      <c r="D262" s="25" t="s">
        <v>18</v>
      </c>
      <c r="E262" s="25">
        <v>14519.37</v>
      </c>
      <c r="F262" s="25">
        <v>3047</v>
      </c>
      <c r="G262" s="25">
        <v>0.13500000000000001</v>
      </c>
      <c r="H262" s="25">
        <v>10</v>
      </c>
      <c r="I262" s="25">
        <v>90.3</v>
      </c>
      <c r="J262" s="25">
        <v>6.62</v>
      </c>
      <c r="K262" s="25">
        <v>0</v>
      </c>
      <c r="L262" s="25">
        <v>4.2</v>
      </c>
      <c r="M262" s="25">
        <v>528852.62</v>
      </c>
      <c r="N262" s="25">
        <v>68426.210000000006</v>
      </c>
      <c r="O262" s="25">
        <f t="shared" si="24"/>
        <v>0</v>
      </c>
      <c r="P262" s="25">
        <f t="shared" si="25"/>
        <v>0</v>
      </c>
      <c r="Q262" s="25">
        <f t="shared" si="26"/>
        <v>1</v>
      </c>
      <c r="R262" s="25">
        <f t="shared" si="27"/>
        <v>1</v>
      </c>
      <c r="S262" s="25">
        <f t="shared" si="28"/>
        <v>0</v>
      </c>
      <c r="T262" s="25">
        <f t="shared" si="29"/>
        <v>0</v>
      </c>
    </row>
    <row r="263" spans="1:20">
      <c r="A263" s="25" t="s">
        <v>87</v>
      </c>
      <c r="B263" s="32">
        <v>45689</v>
      </c>
      <c r="C263" s="25" t="s">
        <v>27</v>
      </c>
      <c r="D263" s="25" t="s">
        <v>18</v>
      </c>
      <c r="E263" s="25">
        <v>43288.2</v>
      </c>
      <c r="F263" s="25">
        <v>4783</v>
      </c>
      <c r="G263" s="25">
        <v>0.16900000000000001</v>
      </c>
      <c r="H263" s="25">
        <v>13</v>
      </c>
      <c r="I263" s="25">
        <v>87.3</v>
      </c>
      <c r="J263" s="25">
        <v>4.5599999999999996</v>
      </c>
      <c r="K263" s="25">
        <v>0</v>
      </c>
      <c r="L263" s="25">
        <v>4.2</v>
      </c>
      <c r="M263" s="25">
        <v>605751.32999999996</v>
      </c>
      <c r="N263" s="25">
        <v>60685.53</v>
      </c>
      <c r="O263" s="25">
        <f t="shared" si="24"/>
        <v>0</v>
      </c>
      <c r="P263" s="25">
        <f t="shared" si="25"/>
        <v>0</v>
      </c>
      <c r="Q263" s="25">
        <f t="shared" si="26"/>
        <v>1</v>
      </c>
      <c r="R263" s="25">
        <f t="shared" si="27"/>
        <v>1</v>
      </c>
      <c r="S263" s="25">
        <f t="shared" si="28"/>
        <v>0</v>
      </c>
      <c r="T263" s="25">
        <f t="shared" si="29"/>
        <v>0</v>
      </c>
    </row>
    <row r="264" spans="1:20">
      <c r="A264" s="25" t="s">
        <v>87</v>
      </c>
      <c r="B264" s="32">
        <v>45717</v>
      </c>
      <c r="C264" s="25" t="s">
        <v>27</v>
      </c>
      <c r="D264" s="25" t="s">
        <v>18</v>
      </c>
      <c r="E264" s="25">
        <v>51450.55</v>
      </c>
      <c r="F264" s="25">
        <v>4902</v>
      </c>
      <c r="G264" s="25">
        <v>8.5999999999999993E-2</v>
      </c>
      <c r="H264" s="25">
        <v>11</v>
      </c>
      <c r="I264" s="25">
        <v>83.7</v>
      </c>
      <c r="J264" s="25">
        <v>6.92</v>
      </c>
      <c r="K264" s="25">
        <v>1</v>
      </c>
      <c r="L264" s="25">
        <v>4.2</v>
      </c>
      <c r="M264" s="25">
        <v>677640.65</v>
      </c>
      <c r="N264" s="25">
        <v>111610.89</v>
      </c>
      <c r="O264" s="25">
        <f t="shared" si="24"/>
        <v>0</v>
      </c>
      <c r="P264" s="25">
        <f t="shared" si="25"/>
        <v>0</v>
      </c>
      <c r="Q264" s="25">
        <f t="shared" si="26"/>
        <v>1</v>
      </c>
      <c r="R264" s="25">
        <f t="shared" si="27"/>
        <v>1</v>
      </c>
      <c r="S264" s="25">
        <f t="shared" si="28"/>
        <v>0</v>
      </c>
      <c r="T264" s="25">
        <f t="shared" si="29"/>
        <v>0</v>
      </c>
    </row>
    <row r="265" spans="1:20">
      <c r="A265" s="25" t="s">
        <v>87</v>
      </c>
      <c r="B265" s="32">
        <v>45748</v>
      </c>
      <c r="C265" s="25" t="s">
        <v>27</v>
      </c>
      <c r="D265" s="25" t="s">
        <v>18</v>
      </c>
      <c r="E265" s="25">
        <v>58688.26</v>
      </c>
      <c r="F265" s="25">
        <v>4022</v>
      </c>
      <c r="G265" s="25">
        <v>0.217</v>
      </c>
      <c r="H265" s="25">
        <v>12</v>
      </c>
      <c r="I265" s="25">
        <v>93.8</v>
      </c>
      <c r="J265" s="25">
        <v>11.78</v>
      </c>
      <c r="K265" s="25">
        <v>0</v>
      </c>
      <c r="L265" s="25">
        <v>3.7</v>
      </c>
      <c r="M265" s="25">
        <v>636613.23</v>
      </c>
      <c r="N265" s="25">
        <v>78908.350000000006</v>
      </c>
      <c r="O265" s="25">
        <f t="shared" si="24"/>
        <v>0</v>
      </c>
      <c r="P265" s="25">
        <f t="shared" si="25"/>
        <v>0</v>
      </c>
      <c r="Q265" s="25">
        <f t="shared" si="26"/>
        <v>1</v>
      </c>
      <c r="R265" s="25">
        <f t="shared" si="27"/>
        <v>1</v>
      </c>
      <c r="S265" s="25">
        <f t="shared" si="28"/>
        <v>0</v>
      </c>
      <c r="T265" s="25">
        <f t="shared" si="29"/>
        <v>0</v>
      </c>
    </row>
    <row r="266" spans="1:20">
      <c r="A266" s="25" t="s">
        <v>88</v>
      </c>
      <c r="B266" s="32">
        <v>45658</v>
      </c>
      <c r="C266" s="25" t="s">
        <v>15</v>
      </c>
      <c r="D266" s="25" t="s">
        <v>18</v>
      </c>
      <c r="E266" s="25">
        <v>58981.91</v>
      </c>
      <c r="F266" s="25">
        <v>7324</v>
      </c>
      <c r="G266" s="25">
        <v>9.4E-2</v>
      </c>
      <c r="H266" s="25">
        <v>15</v>
      </c>
      <c r="I266" s="25">
        <v>95.8</v>
      </c>
      <c r="J266" s="25">
        <v>0.5</v>
      </c>
      <c r="K266" s="25">
        <v>0</v>
      </c>
      <c r="L266" s="25">
        <v>3.5</v>
      </c>
      <c r="M266" s="25">
        <v>708985.19</v>
      </c>
      <c r="N266" s="25">
        <v>125368.16</v>
      </c>
      <c r="O266" s="25">
        <f t="shared" si="24"/>
        <v>0</v>
      </c>
      <c r="P266" s="25">
        <f t="shared" si="25"/>
        <v>0</v>
      </c>
      <c r="Q266" s="25">
        <f t="shared" si="26"/>
        <v>0</v>
      </c>
      <c r="R266" s="25">
        <f t="shared" si="27"/>
        <v>1</v>
      </c>
      <c r="S266" s="25">
        <f t="shared" si="28"/>
        <v>0</v>
      </c>
      <c r="T266" s="25">
        <f t="shared" si="29"/>
        <v>0</v>
      </c>
    </row>
    <row r="267" spans="1:20">
      <c r="A267" s="25" t="s">
        <v>88</v>
      </c>
      <c r="B267" s="32">
        <v>45689</v>
      </c>
      <c r="C267" s="25" t="s">
        <v>15</v>
      </c>
      <c r="D267" s="25" t="s">
        <v>18</v>
      </c>
      <c r="E267" s="25">
        <v>73454.539999999994</v>
      </c>
      <c r="F267" s="25">
        <v>8129</v>
      </c>
      <c r="G267" s="25">
        <v>0.21099999999999999</v>
      </c>
      <c r="H267" s="25">
        <v>20</v>
      </c>
      <c r="I267" s="25">
        <v>85.2</v>
      </c>
      <c r="J267" s="25">
        <v>0.88</v>
      </c>
      <c r="K267" s="25">
        <v>0</v>
      </c>
      <c r="L267" s="25">
        <v>3.7</v>
      </c>
      <c r="M267" s="25">
        <v>767792.94</v>
      </c>
      <c r="N267" s="25">
        <v>96235.77</v>
      </c>
      <c r="O267" s="25">
        <f t="shared" si="24"/>
        <v>0</v>
      </c>
      <c r="P267" s="25">
        <f t="shared" si="25"/>
        <v>0</v>
      </c>
      <c r="Q267" s="25">
        <f t="shared" si="26"/>
        <v>0</v>
      </c>
      <c r="R267" s="25">
        <f t="shared" si="27"/>
        <v>1</v>
      </c>
      <c r="S267" s="25">
        <f t="shared" si="28"/>
        <v>0</v>
      </c>
      <c r="T267" s="25">
        <f t="shared" si="29"/>
        <v>0</v>
      </c>
    </row>
    <row r="268" spans="1:20">
      <c r="A268" s="25" t="s">
        <v>88</v>
      </c>
      <c r="B268" s="32">
        <v>45717</v>
      </c>
      <c r="C268" s="25" t="s">
        <v>15</v>
      </c>
      <c r="D268" s="25" t="s">
        <v>18</v>
      </c>
      <c r="E268" s="25">
        <v>56602.39</v>
      </c>
      <c r="F268" s="25">
        <v>7969</v>
      </c>
      <c r="G268" s="25">
        <v>0.17</v>
      </c>
      <c r="H268" s="25">
        <v>21</v>
      </c>
      <c r="I268" s="25">
        <v>88.3</v>
      </c>
      <c r="J268" s="25">
        <v>2.25</v>
      </c>
      <c r="K268" s="25">
        <v>0</v>
      </c>
      <c r="L268" s="25">
        <v>3.7</v>
      </c>
      <c r="M268" s="25">
        <v>745580.51</v>
      </c>
      <c r="N268" s="25">
        <v>116273.68</v>
      </c>
      <c r="O268" s="25">
        <f t="shared" si="24"/>
        <v>0</v>
      </c>
      <c r="P268" s="25">
        <f t="shared" si="25"/>
        <v>0</v>
      </c>
      <c r="Q268" s="25">
        <f t="shared" si="26"/>
        <v>0</v>
      </c>
      <c r="R268" s="25">
        <f t="shared" si="27"/>
        <v>1</v>
      </c>
      <c r="S268" s="25">
        <f t="shared" si="28"/>
        <v>0</v>
      </c>
      <c r="T268" s="25">
        <f t="shared" si="29"/>
        <v>0</v>
      </c>
    </row>
    <row r="269" spans="1:20">
      <c r="A269" s="25" t="s">
        <v>88</v>
      </c>
      <c r="B269" s="32">
        <v>45748</v>
      </c>
      <c r="C269" s="25" t="s">
        <v>15</v>
      </c>
      <c r="D269" s="25" t="s">
        <v>18</v>
      </c>
      <c r="E269" s="25">
        <v>67722.289999999994</v>
      </c>
      <c r="F269" s="25">
        <v>7240</v>
      </c>
      <c r="G269" s="25">
        <v>2.5999999999999999E-2</v>
      </c>
      <c r="H269" s="25">
        <v>15</v>
      </c>
      <c r="I269" s="25">
        <v>92.9</v>
      </c>
      <c r="J269" s="25">
        <v>0.28999999999999998</v>
      </c>
      <c r="K269" s="25">
        <v>0</v>
      </c>
      <c r="L269" s="25">
        <v>3.5</v>
      </c>
      <c r="M269" s="25">
        <v>762328.31</v>
      </c>
      <c r="N269" s="25">
        <v>159158.19</v>
      </c>
      <c r="O269" s="25">
        <f t="shared" si="24"/>
        <v>0</v>
      </c>
      <c r="P269" s="25">
        <f t="shared" si="25"/>
        <v>0</v>
      </c>
      <c r="Q269" s="25">
        <f t="shared" si="26"/>
        <v>0</v>
      </c>
      <c r="R269" s="25">
        <f t="shared" si="27"/>
        <v>1</v>
      </c>
      <c r="S269" s="25">
        <f t="shared" si="28"/>
        <v>0</v>
      </c>
      <c r="T269" s="25">
        <f t="shared" si="29"/>
        <v>0</v>
      </c>
    </row>
    <row r="270" spans="1:20">
      <c r="A270" s="25" t="s">
        <v>89</v>
      </c>
      <c r="B270" s="32">
        <v>45658</v>
      </c>
      <c r="C270" s="25" t="s">
        <v>15</v>
      </c>
      <c r="D270" s="25" t="s">
        <v>28</v>
      </c>
      <c r="E270" s="25">
        <v>48752.92</v>
      </c>
      <c r="F270" s="25">
        <v>8052</v>
      </c>
      <c r="G270" s="25">
        <v>0.106</v>
      </c>
      <c r="H270" s="25">
        <v>16</v>
      </c>
      <c r="I270" s="25">
        <v>94.9</v>
      </c>
      <c r="J270" s="25">
        <v>0.65</v>
      </c>
      <c r="K270" s="25">
        <v>0</v>
      </c>
      <c r="L270" s="25">
        <v>3.6</v>
      </c>
      <c r="M270" s="25">
        <v>660633.99</v>
      </c>
      <c r="N270" s="25">
        <v>118768.66</v>
      </c>
      <c r="O270" s="25">
        <f t="shared" si="24"/>
        <v>0</v>
      </c>
      <c r="P270" s="25">
        <f t="shared" si="25"/>
        <v>0</v>
      </c>
      <c r="Q270" s="25">
        <f t="shared" si="26"/>
        <v>0</v>
      </c>
      <c r="R270" s="25">
        <f t="shared" si="27"/>
        <v>0</v>
      </c>
      <c r="S270" s="25">
        <f t="shared" si="28"/>
        <v>1</v>
      </c>
      <c r="T270" s="25">
        <f t="shared" si="29"/>
        <v>0</v>
      </c>
    </row>
    <row r="271" spans="1:20">
      <c r="A271" s="25" t="s">
        <v>89</v>
      </c>
      <c r="B271" s="32">
        <v>45689</v>
      </c>
      <c r="C271" s="25" t="s">
        <v>15</v>
      </c>
      <c r="D271" s="25" t="s">
        <v>28</v>
      </c>
      <c r="E271" s="25">
        <v>23914.97</v>
      </c>
      <c r="F271" s="25">
        <v>8018</v>
      </c>
      <c r="G271" s="25">
        <v>0.13900000000000001</v>
      </c>
      <c r="H271" s="25">
        <v>20</v>
      </c>
      <c r="I271" s="25">
        <v>89</v>
      </c>
      <c r="J271" s="25">
        <v>0.2</v>
      </c>
      <c r="K271" s="25">
        <v>0</v>
      </c>
      <c r="L271" s="25">
        <v>3.5</v>
      </c>
      <c r="M271" s="25">
        <v>739374.56</v>
      </c>
      <c r="N271" s="25">
        <v>121032.29</v>
      </c>
      <c r="O271" s="25">
        <f t="shared" si="24"/>
        <v>0</v>
      </c>
      <c r="P271" s="25">
        <f t="shared" si="25"/>
        <v>0</v>
      </c>
      <c r="Q271" s="25">
        <f t="shared" si="26"/>
        <v>0</v>
      </c>
      <c r="R271" s="25">
        <f t="shared" si="27"/>
        <v>0</v>
      </c>
      <c r="S271" s="25">
        <f t="shared" si="28"/>
        <v>1</v>
      </c>
      <c r="T271" s="25">
        <f t="shared" si="29"/>
        <v>0</v>
      </c>
    </row>
    <row r="272" spans="1:20">
      <c r="A272" s="25" t="s">
        <v>89</v>
      </c>
      <c r="B272" s="32">
        <v>45717</v>
      </c>
      <c r="C272" s="25" t="s">
        <v>15</v>
      </c>
      <c r="D272" s="25" t="s">
        <v>28</v>
      </c>
      <c r="E272" s="25">
        <v>61995.3</v>
      </c>
      <c r="F272" s="25">
        <v>10192</v>
      </c>
      <c r="G272" s="25">
        <v>0.19800000000000001</v>
      </c>
      <c r="H272" s="25">
        <v>21</v>
      </c>
      <c r="I272" s="25">
        <v>87.6</v>
      </c>
      <c r="J272" s="25">
        <v>3.63</v>
      </c>
      <c r="K272" s="25">
        <v>1</v>
      </c>
      <c r="L272" s="25">
        <v>3.8</v>
      </c>
      <c r="M272" s="25">
        <v>799756.46</v>
      </c>
      <c r="N272" s="25">
        <v>105052.93</v>
      </c>
      <c r="O272" s="25">
        <f t="shared" si="24"/>
        <v>0</v>
      </c>
      <c r="P272" s="25">
        <f t="shared" si="25"/>
        <v>0</v>
      </c>
      <c r="Q272" s="25">
        <f t="shared" si="26"/>
        <v>0</v>
      </c>
      <c r="R272" s="25">
        <f t="shared" si="27"/>
        <v>0</v>
      </c>
      <c r="S272" s="25">
        <f t="shared" si="28"/>
        <v>1</v>
      </c>
      <c r="T272" s="25">
        <f t="shared" si="29"/>
        <v>0</v>
      </c>
    </row>
    <row r="273" spans="1:20">
      <c r="A273" s="25" t="s">
        <v>89</v>
      </c>
      <c r="B273" s="32">
        <v>45748</v>
      </c>
      <c r="C273" s="25" t="s">
        <v>15</v>
      </c>
      <c r="D273" s="25" t="s">
        <v>28</v>
      </c>
      <c r="E273" s="25">
        <v>29344.93</v>
      </c>
      <c r="F273" s="25">
        <v>7446</v>
      </c>
      <c r="G273" s="25">
        <v>0.111</v>
      </c>
      <c r="H273" s="25">
        <v>15</v>
      </c>
      <c r="I273" s="25">
        <v>86.2</v>
      </c>
      <c r="J273" s="25">
        <v>0.2</v>
      </c>
      <c r="K273" s="25">
        <v>0</v>
      </c>
      <c r="L273" s="25">
        <v>3.2</v>
      </c>
      <c r="M273" s="25">
        <v>593343</v>
      </c>
      <c r="N273" s="25">
        <v>82832.240000000005</v>
      </c>
      <c r="O273" s="25">
        <f t="shared" si="24"/>
        <v>0</v>
      </c>
      <c r="P273" s="25">
        <f t="shared" si="25"/>
        <v>0</v>
      </c>
      <c r="Q273" s="25">
        <f t="shared" si="26"/>
        <v>0</v>
      </c>
      <c r="R273" s="25">
        <f t="shared" si="27"/>
        <v>0</v>
      </c>
      <c r="S273" s="25">
        <f t="shared" si="28"/>
        <v>1</v>
      </c>
      <c r="T273" s="25">
        <f t="shared" si="29"/>
        <v>0</v>
      </c>
    </row>
    <row r="274" spans="1:20">
      <c r="A274" s="25" t="s">
        <v>90</v>
      </c>
      <c r="B274" s="32">
        <v>45658</v>
      </c>
      <c r="C274" s="25" t="s">
        <v>27</v>
      </c>
      <c r="D274" s="25" t="s">
        <v>18</v>
      </c>
      <c r="E274" s="25">
        <v>50532.17</v>
      </c>
      <c r="F274" s="25">
        <v>5689</v>
      </c>
      <c r="G274" s="25">
        <v>5.1999999999999998E-2</v>
      </c>
      <c r="H274" s="25">
        <v>17</v>
      </c>
      <c r="I274" s="25">
        <v>85.6</v>
      </c>
      <c r="J274" s="25">
        <v>6.23</v>
      </c>
      <c r="K274" s="25">
        <v>0</v>
      </c>
      <c r="L274" s="25">
        <v>3.3</v>
      </c>
      <c r="M274" s="25">
        <v>645039.97</v>
      </c>
      <c r="N274" s="25">
        <v>83093.33</v>
      </c>
      <c r="O274" s="25">
        <f t="shared" si="24"/>
        <v>0</v>
      </c>
      <c r="P274" s="25">
        <f t="shared" si="25"/>
        <v>0</v>
      </c>
      <c r="Q274" s="25">
        <f t="shared" si="26"/>
        <v>1</v>
      </c>
      <c r="R274" s="25">
        <f t="shared" si="27"/>
        <v>1</v>
      </c>
      <c r="S274" s="25">
        <f t="shared" si="28"/>
        <v>0</v>
      </c>
      <c r="T274" s="25">
        <f t="shared" si="29"/>
        <v>0</v>
      </c>
    </row>
    <row r="275" spans="1:20">
      <c r="A275" s="25" t="s">
        <v>90</v>
      </c>
      <c r="B275" s="32">
        <v>45689</v>
      </c>
      <c r="C275" s="25" t="s">
        <v>27</v>
      </c>
      <c r="D275" s="25" t="s">
        <v>18</v>
      </c>
      <c r="E275" s="25">
        <v>17562.57</v>
      </c>
      <c r="F275" s="25">
        <v>3326</v>
      </c>
      <c r="G275" s="25">
        <v>0.153</v>
      </c>
      <c r="H275" s="25">
        <v>14</v>
      </c>
      <c r="I275" s="25">
        <v>88.1</v>
      </c>
      <c r="J275" s="25">
        <v>1.04</v>
      </c>
      <c r="K275" s="25">
        <v>0</v>
      </c>
      <c r="L275" s="25">
        <v>3.1</v>
      </c>
      <c r="M275" s="25">
        <v>561597.32999999996</v>
      </c>
      <c r="N275" s="25">
        <v>75072.75</v>
      </c>
      <c r="O275" s="25">
        <f t="shared" si="24"/>
        <v>0</v>
      </c>
      <c r="P275" s="25">
        <f t="shared" si="25"/>
        <v>0</v>
      </c>
      <c r="Q275" s="25">
        <f t="shared" si="26"/>
        <v>1</v>
      </c>
      <c r="R275" s="25">
        <f t="shared" si="27"/>
        <v>1</v>
      </c>
      <c r="S275" s="25">
        <f t="shared" si="28"/>
        <v>0</v>
      </c>
      <c r="T275" s="25">
        <f t="shared" si="29"/>
        <v>0</v>
      </c>
    </row>
    <row r="276" spans="1:20">
      <c r="A276" s="25" t="s">
        <v>90</v>
      </c>
      <c r="B276" s="32">
        <v>45717</v>
      </c>
      <c r="C276" s="25" t="s">
        <v>27</v>
      </c>
      <c r="D276" s="25" t="s">
        <v>18</v>
      </c>
      <c r="E276" s="25">
        <v>47648.71</v>
      </c>
      <c r="F276" s="25">
        <v>5767</v>
      </c>
      <c r="G276" s="25">
        <v>0.14099999999999999</v>
      </c>
      <c r="H276" s="25">
        <v>17</v>
      </c>
      <c r="I276" s="25">
        <v>89.8</v>
      </c>
      <c r="J276" s="25">
        <v>1.76</v>
      </c>
      <c r="K276" s="25">
        <v>0</v>
      </c>
      <c r="L276" s="25">
        <v>3.1</v>
      </c>
      <c r="M276" s="25">
        <v>635837.74</v>
      </c>
      <c r="N276" s="25">
        <v>114740.64</v>
      </c>
      <c r="O276" s="25">
        <f t="shared" si="24"/>
        <v>0</v>
      </c>
      <c r="P276" s="25">
        <f t="shared" si="25"/>
        <v>0</v>
      </c>
      <c r="Q276" s="25">
        <f t="shared" si="26"/>
        <v>1</v>
      </c>
      <c r="R276" s="25">
        <f t="shared" si="27"/>
        <v>1</v>
      </c>
      <c r="S276" s="25">
        <f t="shared" si="28"/>
        <v>0</v>
      </c>
      <c r="T276" s="25">
        <f t="shared" si="29"/>
        <v>0</v>
      </c>
    </row>
    <row r="277" spans="1:20">
      <c r="A277" s="25" t="s">
        <v>90</v>
      </c>
      <c r="B277" s="32">
        <v>45748</v>
      </c>
      <c r="C277" s="25" t="s">
        <v>27</v>
      </c>
      <c r="D277" s="25" t="s">
        <v>18</v>
      </c>
      <c r="E277" s="25">
        <v>38297.58</v>
      </c>
      <c r="F277" s="25">
        <v>5893</v>
      </c>
      <c r="G277" s="25">
        <v>0.247</v>
      </c>
      <c r="H277" s="25">
        <v>18</v>
      </c>
      <c r="I277" s="25">
        <v>77.599999999999994</v>
      </c>
      <c r="J277" s="25">
        <v>2.86</v>
      </c>
      <c r="K277" s="25">
        <v>0</v>
      </c>
      <c r="L277" s="25">
        <v>3</v>
      </c>
      <c r="M277" s="25">
        <v>686737.87</v>
      </c>
      <c r="N277" s="25">
        <v>83839.67</v>
      </c>
      <c r="O277" s="25">
        <f t="shared" si="24"/>
        <v>0</v>
      </c>
      <c r="P277" s="25">
        <f t="shared" si="25"/>
        <v>0</v>
      </c>
      <c r="Q277" s="25">
        <f t="shared" si="26"/>
        <v>1</v>
      </c>
      <c r="R277" s="25">
        <f t="shared" si="27"/>
        <v>1</v>
      </c>
      <c r="S277" s="25">
        <f t="shared" si="28"/>
        <v>0</v>
      </c>
      <c r="T277" s="25">
        <f t="shared" si="29"/>
        <v>0</v>
      </c>
    </row>
    <row r="278" spans="1:20">
      <c r="A278" s="25" t="s">
        <v>91</v>
      </c>
      <c r="B278" s="32">
        <v>45658</v>
      </c>
      <c r="C278" s="25" t="s">
        <v>24</v>
      </c>
      <c r="D278" s="25" t="s">
        <v>16</v>
      </c>
      <c r="E278" s="25">
        <v>61784.11</v>
      </c>
      <c r="F278" s="25">
        <v>8564</v>
      </c>
      <c r="G278" s="25">
        <v>0.13</v>
      </c>
      <c r="H278" s="25">
        <v>17</v>
      </c>
      <c r="I278" s="25">
        <v>87.4</v>
      </c>
      <c r="J278" s="25">
        <v>18.14</v>
      </c>
      <c r="K278" s="25">
        <v>1</v>
      </c>
      <c r="L278" s="25">
        <v>3.4</v>
      </c>
      <c r="M278" s="25">
        <v>673076.34</v>
      </c>
      <c r="N278" s="25">
        <v>93899.76</v>
      </c>
      <c r="O278" s="25">
        <f t="shared" si="24"/>
        <v>0</v>
      </c>
      <c r="P278" s="25">
        <f t="shared" si="25"/>
        <v>1</v>
      </c>
      <c r="Q278" s="25">
        <f t="shared" si="26"/>
        <v>0</v>
      </c>
      <c r="R278" s="25">
        <f t="shared" si="27"/>
        <v>0</v>
      </c>
      <c r="S278" s="25">
        <f t="shared" si="28"/>
        <v>0</v>
      </c>
      <c r="T278" s="25">
        <f t="shared" si="29"/>
        <v>1</v>
      </c>
    </row>
    <row r="279" spans="1:20">
      <c r="A279" s="25" t="s">
        <v>91</v>
      </c>
      <c r="B279" s="32">
        <v>45689</v>
      </c>
      <c r="C279" s="25" t="s">
        <v>24</v>
      </c>
      <c r="D279" s="25" t="s">
        <v>16</v>
      </c>
      <c r="E279" s="25">
        <v>36832.33</v>
      </c>
      <c r="F279" s="25">
        <v>8001</v>
      </c>
      <c r="G279" s="25">
        <v>0</v>
      </c>
      <c r="H279" s="25">
        <v>19</v>
      </c>
      <c r="I279" s="25">
        <v>88.7</v>
      </c>
      <c r="J279" s="25">
        <v>3.39</v>
      </c>
      <c r="K279" s="25">
        <v>0</v>
      </c>
      <c r="L279" s="25">
        <v>4</v>
      </c>
      <c r="M279" s="25">
        <v>738548.42</v>
      </c>
      <c r="N279" s="25">
        <v>134282.76999999999</v>
      </c>
      <c r="O279" s="25">
        <f t="shared" si="24"/>
        <v>0</v>
      </c>
      <c r="P279" s="25">
        <f t="shared" si="25"/>
        <v>1</v>
      </c>
      <c r="Q279" s="25">
        <f t="shared" si="26"/>
        <v>0</v>
      </c>
      <c r="R279" s="25">
        <f t="shared" si="27"/>
        <v>0</v>
      </c>
      <c r="S279" s="25">
        <f t="shared" si="28"/>
        <v>0</v>
      </c>
      <c r="T279" s="25">
        <f t="shared" si="29"/>
        <v>1</v>
      </c>
    </row>
    <row r="280" spans="1:20">
      <c r="A280" s="25" t="s">
        <v>91</v>
      </c>
      <c r="B280" s="32">
        <v>45717</v>
      </c>
      <c r="C280" s="25" t="s">
        <v>24</v>
      </c>
      <c r="D280" s="25" t="s">
        <v>16</v>
      </c>
      <c r="E280" s="25">
        <v>48609.41</v>
      </c>
      <c r="F280" s="25">
        <v>9324</v>
      </c>
      <c r="G280" s="25">
        <v>0.21299999999999999</v>
      </c>
      <c r="H280" s="25">
        <v>18</v>
      </c>
      <c r="I280" s="25">
        <v>86.5</v>
      </c>
      <c r="J280" s="25">
        <v>1.44</v>
      </c>
      <c r="K280" s="25">
        <v>0</v>
      </c>
      <c r="L280" s="25">
        <v>3.9</v>
      </c>
      <c r="M280" s="25">
        <v>756619.77</v>
      </c>
      <c r="N280" s="25">
        <v>112057.69</v>
      </c>
      <c r="O280" s="25">
        <f t="shared" si="24"/>
        <v>0</v>
      </c>
      <c r="P280" s="25">
        <f t="shared" si="25"/>
        <v>1</v>
      </c>
      <c r="Q280" s="25">
        <f t="shared" si="26"/>
        <v>0</v>
      </c>
      <c r="R280" s="25">
        <f t="shared" si="27"/>
        <v>0</v>
      </c>
      <c r="S280" s="25">
        <f t="shared" si="28"/>
        <v>0</v>
      </c>
      <c r="T280" s="25">
        <f t="shared" si="29"/>
        <v>1</v>
      </c>
    </row>
    <row r="281" spans="1:20">
      <c r="A281" s="25" t="s">
        <v>91</v>
      </c>
      <c r="B281" s="32">
        <v>45748</v>
      </c>
      <c r="C281" s="25" t="s">
        <v>24</v>
      </c>
      <c r="D281" s="25" t="s">
        <v>16</v>
      </c>
      <c r="E281" s="25">
        <v>70284.06</v>
      </c>
      <c r="F281" s="25">
        <v>9109</v>
      </c>
      <c r="G281" s="25">
        <v>4.0000000000000001E-3</v>
      </c>
      <c r="H281" s="25">
        <v>23</v>
      </c>
      <c r="I281" s="25">
        <v>87</v>
      </c>
      <c r="J281" s="25">
        <v>3.65</v>
      </c>
      <c r="K281" s="25">
        <v>0</v>
      </c>
      <c r="L281" s="25">
        <v>3.7</v>
      </c>
      <c r="M281" s="25">
        <v>761122.42</v>
      </c>
      <c r="N281" s="25">
        <v>149802.04</v>
      </c>
      <c r="O281" s="25">
        <f t="shared" si="24"/>
        <v>0</v>
      </c>
      <c r="P281" s="25">
        <f t="shared" si="25"/>
        <v>1</v>
      </c>
      <c r="Q281" s="25">
        <f t="shared" si="26"/>
        <v>0</v>
      </c>
      <c r="R281" s="25">
        <f t="shared" si="27"/>
        <v>0</v>
      </c>
      <c r="S281" s="25">
        <f t="shared" si="28"/>
        <v>0</v>
      </c>
      <c r="T281" s="25">
        <f t="shared" si="29"/>
        <v>1</v>
      </c>
    </row>
    <row r="282" spans="1:20">
      <c r="A282" s="25" t="s">
        <v>92</v>
      </c>
      <c r="B282" s="32">
        <v>45658</v>
      </c>
      <c r="C282" s="25" t="s">
        <v>24</v>
      </c>
      <c r="D282" s="25" t="s">
        <v>18</v>
      </c>
      <c r="E282" s="25">
        <v>45940.39</v>
      </c>
      <c r="F282" s="25">
        <v>4022</v>
      </c>
      <c r="G282" s="25">
        <v>6.9000000000000006E-2</v>
      </c>
      <c r="H282" s="25">
        <v>10</v>
      </c>
      <c r="I282" s="25">
        <v>83</v>
      </c>
      <c r="J282" s="25">
        <v>1.23</v>
      </c>
      <c r="K282" s="25">
        <v>1</v>
      </c>
      <c r="L282" s="25">
        <v>3.8</v>
      </c>
      <c r="M282" s="25">
        <v>524899.56999999995</v>
      </c>
      <c r="N282" s="25">
        <v>63619.98</v>
      </c>
      <c r="O282" s="25">
        <f t="shared" si="24"/>
        <v>0</v>
      </c>
      <c r="P282" s="25">
        <f t="shared" si="25"/>
        <v>1</v>
      </c>
      <c r="Q282" s="25">
        <f t="shared" si="26"/>
        <v>0</v>
      </c>
      <c r="R282" s="25">
        <f t="shared" si="27"/>
        <v>1</v>
      </c>
      <c r="S282" s="25">
        <f t="shared" si="28"/>
        <v>0</v>
      </c>
      <c r="T282" s="25">
        <f t="shared" si="29"/>
        <v>0</v>
      </c>
    </row>
    <row r="283" spans="1:20">
      <c r="A283" s="25" t="s">
        <v>92</v>
      </c>
      <c r="B283" s="32">
        <v>45689</v>
      </c>
      <c r="C283" s="25" t="s">
        <v>24</v>
      </c>
      <c r="D283" s="25" t="s">
        <v>18</v>
      </c>
      <c r="E283" s="25">
        <v>34771.26</v>
      </c>
      <c r="F283" s="25">
        <v>4355</v>
      </c>
      <c r="G283" s="25">
        <v>5.0999999999999997E-2</v>
      </c>
      <c r="H283" s="25">
        <v>15</v>
      </c>
      <c r="I283" s="25">
        <v>87.9</v>
      </c>
      <c r="J283" s="25">
        <v>3.09</v>
      </c>
      <c r="K283" s="25">
        <v>0</v>
      </c>
      <c r="L283" s="25">
        <v>4</v>
      </c>
      <c r="M283" s="25">
        <v>555557.77</v>
      </c>
      <c r="N283" s="25">
        <v>86475.51</v>
      </c>
      <c r="O283" s="25">
        <f t="shared" si="24"/>
        <v>0</v>
      </c>
      <c r="P283" s="25">
        <f t="shared" si="25"/>
        <v>1</v>
      </c>
      <c r="Q283" s="25">
        <f t="shared" si="26"/>
        <v>0</v>
      </c>
      <c r="R283" s="25">
        <f t="shared" si="27"/>
        <v>1</v>
      </c>
      <c r="S283" s="25">
        <f t="shared" si="28"/>
        <v>0</v>
      </c>
      <c r="T283" s="25">
        <f t="shared" si="29"/>
        <v>0</v>
      </c>
    </row>
    <row r="284" spans="1:20">
      <c r="A284" s="25" t="s">
        <v>92</v>
      </c>
      <c r="B284" s="32">
        <v>45717</v>
      </c>
      <c r="C284" s="25" t="s">
        <v>24</v>
      </c>
      <c r="D284" s="25" t="s">
        <v>18</v>
      </c>
      <c r="E284" s="25">
        <v>66104.19</v>
      </c>
      <c r="F284" s="25">
        <v>5745</v>
      </c>
      <c r="G284" s="25">
        <v>7.0000000000000007E-2</v>
      </c>
      <c r="H284" s="25">
        <v>17</v>
      </c>
      <c r="I284" s="25">
        <v>95.8</v>
      </c>
      <c r="J284" s="25">
        <v>3.15</v>
      </c>
      <c r="K284" s="25">
        <v>0</v>
      </c>
      <c r="L284" s="25">
        <v>4</v>
      </c>
      <c r="M284" s="25">
        <v>714083.68</v>
      </c>
      <c r="N284" s="25">
        <v>127231.74</v>
      </c>
      <c r="O284" s="25">
        <f t="shared" si="24"/>
        <v>0</v>
      </c>
      <c r="P284" s="25">
        <f t="shared" si="25"/>
        <v>1</v>
      </c>
      <c r="Q284" s="25">
        <f t="shared" si="26"/>
        <v>0</v>
      </c>
      <c r="R284" s="25">
        <f t="shared" si="27"/>
        <v>1</v>
      </c>
      <c r="S284" s="25">
        <f t="shared" si="28"/>
        <v>0</v>
      </c>
      <c r="T284" s="25">
        <f t="shared" si="29"/>
        <v>0</v>
      </c>
    </row>
    <row r="285" spans="1:20">
      <c r="A285" s="25" t="s">
        <v>92</v>
      </c>
      <c r="B285" s="32">
        <v>45748</v>
      </c>
      <c r="C285" s="25" t="s">
        <v>24</v>
      </c>
      <c r="D285" s="25" t="s">
        <v>18</v>
      </c>
      <c r="E285" s="25">
        <v>18599.21</v>
      </c>
      <c r="F285" s="25">
        <v>3027</v>
      </c>
      <c r="G285" s="25">
        <v>0.122</v>
      </c>
      <c r="H285" s="25">
        <v>11</v>
      </c>
      <c r="I285" s="25">
        <v>80.900000000000006</v>
      </c>
      <c r="J285" s="25">
        <v>6.44</v>
      </c>
      <c r="K285" s="25">
        <v>0</v>
      </c>
      <c r="L285" s="25">
        <v>4.2</v>
      </c>
      <c r="M285" s="25">
        <v>497439.82</v>
      </c>
      <c r="N285" s="25">
        <v>93372.75</v>
      </c>
      <c r="O285" s="25">
        <f t="shared" si="24"/>
        <v>0</v>
      </c>
      <c r="P285" s="25">
        <f t="shared" si="25"/>
        <v>1</v>
      </c>
      <c r="Q285" s="25">
        <f t="shared" si="26"/>
        <v>0</v>
      </c>
      <c r="R285" s="25">
        <f t="shared" si="27"/>
        <v>1</v>
      </c>
      <c r="S285" s="25">
        <f t="shared" si="28"/>
        <v>0</v>
      </c>
      <c r="T285" s="25">
        <f t="shared" si="29"/>
        <v>0</v>
      </c>
    </row>
    <row r="286" spans="1:20">
      <c r="A286" s="25" t="s">
        <v>93</v>
      </c>
      <c r="B286" s="32">
        <v>45658</v>
      </c>
      <c r="C286" s="25" t="s">
        <v>27</v>
      </c>
      <c r="D286" s="25" t="s">
        <v>16</v>
      </c>
      <c r="E286" s="25">
        <v>60183.06</v>
      </c>
      <c r="F286" s="25">
        <v>5562</v>
      </c>
      <c r="G286" s="25">
        <v>8.9999999999999993E-3</v>
      </c>
      <c r="H286" s="25">
        <v>13</v>
      </c>
      <c r="I286" s="25">
        <v>86.3</v>
      </c>
      <c r="J286" s="25">
        <v>0.2</v>
      </c>
      <c r="K286" s="25">
        <v>1</v>
      </c>
      <c r="L286" s="25">
        <v>4.5</v>
      </c>
      <c r="M286" s="25">
        <v>636775.66</v>
      </c>
      <c r="N286" s="25">
        <v>122636.86</v>
      </c>
      <c r="O286" s="25">
        <f t="shared" si="24"/>
        <v>0</v>
      </c>
      <c r="P286" s="25">
        <f t="shared" si="25"/>
        <v>0</v>
      </c>
      <c r="Q286" s="25">
        <f t="shared" si="26"/>
        <v>1</v>
      </c>
      <c r="R286" s="25">
        <f t="shared" si="27"/>
        <v>0</v>
      </c>
      <c r="S286" s="25">
        <f t="shared" si="28"/>
        <v>0</v>
      </c>
      <c r="T286" s="25">
        <f t="shared" si="29"/>
        <v>1</v>
      </c>
    </row>
    <row r="287" spans="1:20">
      <c r="A287" s="25" t="s">
        <v>93</v>
      </c>
      <c r="B287" s="32">
        <v>45689</v>
      </c>
      <c r="C287" s="25" t="s">
        <v>27</v>
      </c>
      <c r="D287" s="25" t="s">
        <v>16</v>
      </c>
      <c r="E287" s="25">
        <v>74539.14</v>
      </c>
      <c r="F287" s="25">
        <v>4487</v>
      </c>
      <c r="G287" s="25">
        <v>0.14000000000000001</v>
      </c>
      <c r="H287" s="25">
        <v>10</v>
      </c>
      <c r="I287" s="25">
        <v>90.4</v>
      </c>
      <c r="J287" s="25">
        <v>0.59</v>
      </c>
      <c r="K287" s="25">
        <v>0</v>
      </c>
      <c r="L287" s="25">
        <v>4.5</v>
      </c>
      <c r="M287" s="25">
        <v>633009.53</v>
      </c>
      <c r="N287" s="25">
        <v>123782.67</v>
      </c>
      <c r="O287" s="25">
        <f t="shared" si="24"/>
        <v>0</v>
      </c>
      <c r="P287" s="25">
        <f t="shared" si="25"/>
        <v>0</v>
      </c>
      <c r="Q287" s="25">
        <f t="shared" si="26"/>
        <v>1</v>
      </c>
      <c r="R287" s="25">
        <f t="shared" si="27"/>
        <v>0</v>
      </c>
      <c r="S287" s="25">
        <f t="shared" si="28"/>
        <v>0</v>
      </c>
      <c r="T287" s="25">
        <f t="shared" si="29"/>
        <v>1</v>
      </c>
    </row>
    <row r="288" spans="1:20">
      <c r="A288" s="25" t="s">
        <v>93</v>
      </c>
      <c r="B288" s="32">
        <v>45717</v>
      </c>
      <c r="C288" s="25" t="s">
        <v>27</v>
      </c>
      <c r="D288" s="25" t="s">
        <v>16</v>
      </c>
      <c r="E288" s="25">
        <v>55371.97</v>
      </c>
      <c r="F288" s="25">
        <v>4162</v>
      </c>
      <c r="G288" s="25">
        <v>0.183</v>
      </c>
      <c r="H288" s="25">
        <v>11</v>
      </c>
      <c r="I288" s="25">
        <v>92</v>
      </c>
      <c r="J288" s="25">
        <v>0.2</v>
      </c>
      <c r="K288" s="25">
        <v>1</v>
      </c>
      <c r="L288" s="25">
        <v>4.2</v>
      </c>
      <c r="M288" s="25">
        <v>609949</v>
      </c>
      <c r="N288" s="25">
        <v>126789.25</v>
      </c>
      <c r="O288" s="25">
        <f t="shared" si="24"/>
        <v>0</v>
      </c>
      <c r="P288" s="25">
        <f t="shared" si="25"/>
        <v>0</v>
      </c>
      <c r="Q288" s="25">
        <f t="shared" si="26"/>
        <v>1</v>
      </c>
      <c r="R288" s="25">
        <f t="shared" si="27"/>
        <v>0</v>
      </c>
      <c r="S288" s="25">
        <f t="shared" si="28"/>
        <v>0</v>
      </c>
      <c r="T288" s="25">
        <f t="shared" si="29"/>
        <v>1</v>
      </c>
    </row>
    <row r="289" spans="1:20">
      <c r="A289" s="25" t="s">
        <v>93</v>
      </c>
      <c r="B289" s="32">
        <v>45748</v>
      </c>
      <c r="C289" s="25" t="s">
        <v>27</v>
      </c>
      <c r="D289" s="25" t="s">
        <v>16</v>
      </c>
      <c r="E289" s="25">
        <v>40928.69</v>
      </c>
      <c r="F289" s="25">
        <v>4094</v>
      </c>
      <c r="G289" s="25">
        <v>0.17399999999999999</v>
      </c>
      <c r="H289" s="25">
        <v>13</v>
      </c>
      <c r="I289" s="25">
        <v>82.4</v>
      </c>
      <c r="J289" s="25">
        <v>1.36</v>
      </c>
      <c r="K289" s="25">
        <v>0</v>
      </c>
      <c r="L289" s="25">
        <v>4.8</v>
      </c>
      <c r="M289" s="25">
        <v>548103.69999999995</v>
      </c>
      <c r="N289" s="25">
        <v>99905.52</v>
      </c>
      <c r="O289" s="25">
        <f t="shared" si="24"/>
        <v>0</v>
      </c>
      <c r="P289" s="25">
        <f t="shared" si="25"/>
        <v>0</v>
      </c>
      <c r="Q289" s="25">
        <f t="shared" si="26"/>
        <v>1</v>
      </c>
      <c r="R289" s="25">
        <f t="shared" si="27"/>
        <v>0</v>
      </c>
      <c r="S289" s="25">
        <f t="shared" si="28"/>
        <v>0</v>
      </c>
      <c r="T289" s="25">
        <f t="shared" si="29"/>
        <v>1</v>
      </c>
    </row>
    <row r="290" spans="1:20">
      <c r="A290" s="25" t="s">
        <v>94</v>
      </c>
      <c r="B290" s="32">
        <v>45658</v>
      </c>
      <c r="C290" s="25" t="s">
        <v>15</v>
      </c>
      <c r="D290" s="25" t="s">
        <v>16</v>
      </c>
      <c r="E290" s="25">
        <v>70012.41</v>
      </c>
      <c r="F290" s="25">
        <v>8484</v>
      </c>
      <c r="G290" s="25">
        <v>0.27300000000000002</v>
      </c>
      <c r="H290" s="25">
        <v>23</v>
      </c>
      <c r="I290" s="25">
        <v>72.900000000000006</v>
      </c>
      <c r="J290" s="25">
        <v>3.34</v>
      </c>
      <c r="K290" s="25">
        <v>0</v>
      </c>
      <c r="L290" s="25">
        <v>3.7</v>
      </c>
      <c r="M290" s="25">
        <v>729424.42</v>
      </c>
      <c r="N290" s="25">
        <v>75592.28</v>
      </c>
      <c r="O290" s="25">
        <f t="shared" si="24"/>
        <v>0</v>
      </c>
      <c r="P290" s="25">
        <f t="shared" si="25"/>
        <v>0</v>
      </c>
      <c r="Q290" s="25">
        <f t="shared" si="26"/>
        <v>0</v>
      </c>
      <c r="R290" s="25">
        <f t="shared" si="27"/>
        <v>0</v>
      </c>
      <c r="S290" s="25">
        <f t="shared" si="28"/>
        <v>0</v>
      </c>
      <c r="T290" s="25">
        <f t="shared" si="29"/>
        <v>1</v>
      </c>
    </row>
    <row r="291" spans="1:20">
      <c r="A291" s="25" t="s">
        <v>94</v>
      </c>
      <c r="B291" s="32">
        <v>45689</v>
      </c>
      <c r="C291" s="25" t="s">
        <v>15</v>
      </c>
      <c r="D291" s="25" t="s">
        <v>16</v>
      </c>
      <c r="E291" s="25">
        <v>68909.259999999995</v>
      </c>
      <c r="F291" s="25">
        <v>7794</v>
      </c>
      <c r="G291" s="25">
        <v>0.28399999999999997</v>
      </c>
      <c r="H291" s="25">
        <v>22</v>
      </c>
      <c r="I291" s="25">
        <v>89</v>
      </c>
      <c r="J291" s="25">
        <v>0.33</v>
      </c>
      <c r="K291" s="25">
        <v>0</v>
      </c>
      <c r="L291" s="25">
        <v>4</v>
      </c>
      <c r="M291" s="25">
        <v>696261.49</v>
      </c>
      <c r="N291" s="25">
        <v>72455.350000000006</v>
      </c>
      <c r="O291" s="25">
        <f t="shared" si="24"/>
        <v>0</v>
      </c>
      <c r="P291" s="25">
        <f t="shared" si="25"/>
        <v>0</v>
      </c>
      <c r="Q291" s="25">
        <f t="shared" si="26"/>
        <v>0</v>
      </c>
      <c r="R291" s="25">
        <f t="shared" si="27"/>
        <v>0</v>
      </c>
      <c r="S291" s="25">
        <f t="shared" si="28"/>
        <v>0</v>
      </c>
      <c r="T291" s="25">
        <f t="shared" si="29"/>
        <v>1</v>
      </c>
    </row>
    <row r="292" spans="1:20">
      <c r="A292" s="25" t="s">
        <v>94</v>
      </c>
      <c r="B292" s="32">
        <v>45717</v>
      </c>
      <c r="C292" s="25" t="s">
        <v>15</v>
      </c>
      <c r="D292" s="25" t="s">
        <v>16</v>
      </c>
      <c r="E292" s="25">
        <v>56737.3</v>
      </c>
      <c r="F292" s="25">
        <v>8300</v>
      </c>
      <c r="G292" s="25">
        <v>3.2000000000000001E-2</v>
      </c>
      <c r="H292" s="25">
        <v>21</v>
      </c>
      <c r="I292" s="25">
        <v>83.2</v>
      </c>
      <c r="J292" s="25">
        <v>3.44</v>
      </c>
      <c r="K292" s="25">
        <v>1</v>
      </c>
      <c r="L292" s="25">
        <v>4.3</v>
      </c>
      <c r="M292" s="25">
        <v>813316.71</v>
      </c>
      <c r="N292" s="25">
        <v>110077.42</v>
      </c>
      <c r="O292" s="25">
        <f t="shared" si="24"/>
        <v>0</v>
      </c>
      <c r="P292" s="25">
        <f t="shared" si="25"/>
        <v>0</v>
      </c>
      <c r="Q292" s="25">
        <f t="shared" si="26"/>
        <v>0</v>
      </c>
      <c r="R292" s="25">
        <f t="shared" si="27"/>
        <v>0</v>
      </c>
      <c r="S292" s="25">
        <f t="shared" si="28"/>
        <v>0</v>
      </c>
      <c r="T292" s="25">
        <f t="shared" si="29"/>
        <v>1</v>
      </c>
    </row>
    <row r="293" spans="1:20">
      <c r="A293" s="25" t="s">
        <v>94</v>
      </c>
      <c r="B293" s="32">
        <v>45748</v>
      </c>
      <c r="C293" s="25" t="s">
        <v>15</v>
      </c>
      <c r="D293" s="25" t="s">
        <v>16</v>
      </c>
      <c r="E293" s="25">
        <v>54080.91</v>
      </c>
      <c r="F293" s="25">
        <v>7083</v>
      </c>
      <c r="G293" s="25">
        <v>0</v>
      </c>
      <c r="H293" s="25">
        <v>15</v>
      </c>
      <c r="I293" s="25">
        <v>97</v>
      </c>
      <c r="J293" s="25">
        <v>5.33</v>
      </c>
      <c r="K293" s="25">
        <v>0</v>
      </c>
      <c r="L293" s="25">
        <v>4.0999999999999996</v>
      </c>
      <c r="M293" s="25">
        <v>702068.92</v>
      </c>
      <c r="N293" s="25">
        <v>111266.63</v>
      </c>
      <c r="O293" s="25">
        <f t="shared" si="24"/>
        <v>0</v>
      </c>
      <c r="P293" s="25">
        <f t="shared" si="25"/>
        <v>0</v>
      </c>
      <c r="Q293" s="25">
        <f t="shared" si="26"/>
        <v>0</v>
      </c>
      <c r="R293" s="25">
        <f t="shared" si="27"/>
        <v>0</v>
      </c>
      <c r="S293" s="25">
        <f t="shared" si="28"/>
        <v>0</v>
      </c>
      <c r="T293" s="25">
        <f t="shared" si="29"/>
        <v>1</v>
      </c>
    </row>
    <row r="294" spans="1:20">
      <c r="A294" s="25" t="s">
        <v>95</v>
      </c>
      <c r="B294" s="32">
        <v>45658</v>
      </c>
      <c r="C294" s="25" t="s">
        <v>27</v>
      </c>
      <c r="D294" s="25" t="s">
        <v>18</v>
      </c>
      <c r="E294" s="25">
        <v>51996.32</v>
      </c>
      <c r="F294" s="25">
        <v>3834</v>
      </c>
      <c r="G294" s="25">
        <v>9.6000000000000002E-2</v>
      </c>
      <c r="H294" s="25">
        <v>8</v>
      </c>
      <c r="I294" s="25">
        <v>86.7</v>
      </c>
      <c r="J294" s="25">
        <v>6.04</v>
      </c>
      <c r="K294" s="25">
        <v>0</v>
      </c>
      <c r="L294" s="25">
        <v>4.5</v>
      </c>
      <c r="M294" s="25">
        <v>546223.69999999995</v>
      </c>
      <c r="N294" s="25">
        <v>100769.17</v>
      </c>
      <c r="O294" s="25">
        <f t="shared" si="24"/>
        <v>0</v>
      </c>
      <c r="P294" s="25">
        <f t="shared" si="25"/>
        <v>0</v>
      </c>
      <c r="Q294" s="25">
        <f t="shared" si="26"/>
        <v>1</v>
      </c>
      <c r="R294" s="25">
        <f t="shared" si="27"/>
        <v>1</v>
      </c>
      <c r="S294" s="25">
        <f t="shared" si="28"/>
        <v>0</v>
      </c>
      <c r="T294" s="25">
        <f t="shared" si="29"/>
        <v>0</v>
      </c>
    </row>
    <row r="295" spans="1:20">
      <c r="A295" s="25" t="s">
        <v>95</v>
      </c>
      <c r="B295" s="32">
        <v>45689</v>
      </c>
      <c r="C295" s="25" t="s">
        <v>27</v>
      </c>
      <c r="D295" s="25" t="s">
        <v>18</v>
      </c>
      <c r="E295" s="25">
        <v>40102.879999999997</v>
      </c>
      <c r="F295" s="25">
        <v>2358</v>
      </c>
      <c r="G295" s="25">
        <v>0.11899999999999999</v>
      </c>
      <c r="H295" s="25">
        <v>9</v>
      </c>
      <c r="I295" s="25">
        <v>88.7</v>
      </c>
      <c r="J295" s="25">
        <v>1.6</v>
      </c>
      <c r="K295" s="25">
        <v>0</v>
      </c>
      <c r="L295" s="25">
        <v>4.2</v>
      </c>
      <c r="M295" s="25">
        <v>533121.26</v>
      </c>
      <c r="N295" s="25">
        <v>55063.39</v>
      </c>
      <c r="O295" s="25">
        <f t="shared" si="24"/>
        <v>0</v>
      </c>
      <c r="P295" s="25">
        <f t="shared" si="25"/>
        <v>0</v>
      </c>
      <c r="Q295" s="25">
        <f t="shared" si="26"/>
        <v>1</v>
      </c>
      <c r="R295" s="25">
        <f t="shared" si="27"/>
        <v>1</v>
      </c>
      <c r="S295" s="25">
        <f t="shared" si="28"/>
        <v>0</v>
      </c>
      <c r="T295" s="25">
        <f t="shared" si="29"/>
        <v>0</v>
      </c>
    </row>
    <row r="296" spans="1:20">
      <c r="A296" s="25" t="s">
        <v>95</v>
      </c>
      <c r="B296" s="32">
        <v>45717</v>
      </c>
      <c r="C296" s="25" t="s">
        <v>27</v>
      </c>
      <c r="D296" s="25" t="s">
        <v>18</v>
      </c>
      <c r="E296" s="25">
        <v>59825.51</v>
      </c>
      <c r="F296" s="25">
        <v>1231</v>
      </c>
      <c r="G296" s="25">
        <v>0.214</v>
      </c>
      <c r="H296" s="25">
        <v>10</v>
      </c>
      <c r="I296" s="25">
        <v>84.8</v>
      </c>
      <c r="J296" s="25">
        <v>8.9600000000000009</v>
      </c>
      <c r="K296" s="25">
        <v>0</v>
      </c>
      <c r="L296" s="25">
        <v>4.7</v>
      </c>
      <c r="M296" s="25">
        <v>498970.32</v>
      </c>
      <c r="N296" s="25">
        <v>69656.7</v>
      </c>
      <c r="O296" s="25">
        <f t="shared" si="24"/>
        <v>0</v>
      </c>
      <c r="P296" s="25">
        <f t="shared" si="25"/>
        <v>0</v>
      </c>
      <c r="Q296" s="25">
        <f t="shared" si="26"/>
        <v>1</v>
      </c>
      <c r="R296" s="25">
        <f t="shared" si="27"/>
        <v>1</v>
      </c>
      <c r="S296" s="25">
        <f t="shared" si="28"/>
        <v>0</v>
      </c>
      <c r="T296" s="25">
        <f t="shared" si="29"/>
        <v>0</v>
      </c>
    </row>
    <row r="297" spans="1:20">
      <c r="A297" s="25" t="s">
        <v>95</v>
      </c>
      <c r="B297" s="32">
        <v>45748</v>
      </c>
      <c r="C297" s="25" t="s">
        <v>27</v>
      </c>
      <c r="D297" s="25" t="s">
        <v>18</v>
      </c>
      <c r="E297" s="25">
        <v>27398.28</v>
      </c>
      <c r="F297" s="25">
        <v>1723</v>
      </c>
      <c r="G297" s="25">
        <v>0.17100000000000001</v>
      </c>
      <c r="H297" s="25">
        <v>9</v>
      </c>
      <c r="I297" s="25">
        <v>81</v>
      </c>
      <c r="J297" s="25">
        <v>0.74</v>
      </c>
      <c r="K297" s="25">
        <v>0</v>
      </c>
      <c r="L297" s="25">
        <v>4.5999999999999996</v>
      </c>
      <c r="M297" s="25">
        <v>487738.26</v>
      </c>
      <c r="N297" s="25">
        <v>96435.6</v>
      </c>
      <c r="O297" s="25">
        <f t="shared" si="24"/>
        <v>0</v>
      </c>
      <c r="P297" s="25">
        <f t="shared" si="25"/>
        <v>0</v>
      </c>
      <c r="Q297" s="25">
        <f t="shared" si="26"/>
        <v>1</v>
      </c>
      <c r="R297" s="25">
        <f t="shared" si="27"/>
        <v>1</v>
      </c>
      <c r="S297" s="25">
        <f t="shared" si="28"/>
        <v>0</v>
      </c>
      <c r="T297" s="25">
        <f t="shared" si="29"/>
        <v>0</v>
      </c>
    </row>
    <row r="298" spans="1:20">
      <c r="A298" s="25" t="s">
        <v>96</v>
      </c>
      <c r="B298" s="32">
        <v>45658</v>
      </c>
      <c r="C298" s="25" t="s">
        <v>27</v>
      </c>
      <c r="D298" s="25" t="s">
        <v>18</v>
      </c>
      <c r="E298" s="25">
        <v>55599.56</v>
      </c>
      <c r="F298" s="25">
        <v>5896</v>
      </c>
      <c r="G298" s="25">
        <v>3.5999999999999997E-2</v>
      </c>
      <c r="H298" s="25">
        <v>12</v>
      </c>
      <c r="I298" s="25">
        <v>93.1</v>
      </c>
      <c r="J298" s="25">
        <v>6.13</v>
      </c>
      <c r="K298" s="25">
        <v>0</v>
      </c>
      <c r="L298" s="25">
        <v>3.3</v>
      </c>
      <c r="M298" s="25">
        <v>668459.37</v>
      </c>
      <c r="N298" s="25">
        <v>126435.42</v>
      </c>
      <c r="O298" s="25">
        <f t="shared" si="24"/>
        <v>0</v>
      </c>
      <c r="P298" s="25">
        <f t="shared" si="25"/>
        <v>0</v>
      </c>
      <c r="Q298" s="25">
        <f t="shared" si="26"/>
        <v>1</v>
      </c>
      <c r="R298" s="25">
        <f t="shared" si="27"/>
        <v>1</v>
      </c>
      <c r="S298" s="25">
        <f t="shared" si="28"/>
        <v>0</v>
      </c>
      <c r="T298" s="25">
        <f t="shared" si="29"/>
        <v>0</v>
      </c>
    </row>
    <row r="299" spans="1:20">
      <c r="A299" s="25" t="s">
        <v>96</v>
      </c>
      <c r="B299" s="32">
        <v>45689</v>
      </c>
      <c r="C299" s="25" t="s">
        <v>27</v>
      </c>
      <c r="D299" s="25" t="s">
        <v>18</v>
      </c>
      <c r="E299" s="25">
        <v>55477.61</v>
      </c>
      <c r="F299" s="25">
        <v>5903</v>
      </c>
      <c r="G299" s="25">
        <v>0.10199999999999999</v>
      </c>
      <c r="H299" s="25">
        <v>14</v>
      </c>
      <c r="I299" s="25">
        <v>96.2</v>
      </c>
      <c r="J299" s="25">
        <v>1.41</v>
      </c>
      <c r="K299" s="25">
        <v>0</v>
      </c>
      <c r="L299" s="25">
        <v>3.3</v>
      </c>
      <c r="M299" s="25">
        <v>763162.45</v>
      </c>
      <c r="N299" s="25">
        <v>162524.04999999999</v>
      </c>
      <c r="O299" s="25">
        <f t="shared" si="24"/>
        <v>0</v>
      </c>
      <c r="P299" s="25">
        <f t="shared" si="25"/>
        <v>0</v>
      </c>
      <c r="Q299" s="25">
        <f t="shared" si="26"/>
        <v>1</v>
      </c>
      <c r="R299" s="25">
        <f t="shared" si="27"/>
        <v>1</v>
      </c>
      <c r="S299" s="25">
        <f t="shared" si="28"/>
        <v>0</v>
      </c>
      <c r="T299" s="25">
        <f t="shared" si="29"/>
        <v>0</v>
      </c>
    </row>
    <row r="300" spans="1:20">
      <c r="A300" s="25" t="s">
        <v>96</v>
      </c>
      <c r="B300" s="32">
        <v>45717</v>
      </c>
      <c r="C300" s="25" t="s">
        <v>27</v>
      </c>
      <c r="D300" s="25" t="s">
        <v>18</v>
      </c>
      <c r="E300" s="25">
        <v>46174.7</v>
      </c>
      <c r="F300" s="25">
        <v>4898</v>
      </c>
      <c r="G300" s="25">
        <v>0.114</v>
      </c>
      <c r="H300" s="25">
        <v>11</v>
      </c>
      <c r="I300" s="25">
        <v>91.7</v>
      </c>
      <c r="J300" s="25">
        <v>3.75</v>
      </c>
      <c r="K300" s="25">
        <v>0</v>
      </c>
      <c r="L300" s="25">
        <v>3.1</v>
      </c>
      <c r="M300" s="25">
        <v>599017.32999999996</v>
      </c>
      <c r="N300" s="25">
        <v>134009.92000000001</v>
      </c>
      <c r="O300" s="25">
        <f t="shared" si="24"/>
        <v>0</v>
      </c>
      <c r="P300" s="25">
        <f t="shared" si="25"/>
        <v>0</v>
      </c>
      <c r="Q300" s="25">
        <f t="shared" si="26"/>
        <v>1</v>
      </c>
      <c r="R300" s="25">
        <f t="shared" si="27"/>
        <v>1</v>
      </c>
      <c r="S300" s="25">
        <f t="shared" si="28"/>
        <v>0</v>
      </c>
      <c r="T300" s="25">
        <f t="shared" si="29"/>
        <v>0</v>
      </c>
    </row>
    <row r="301" spans="1:20">
      <c r="A301" s="25" t="s">
        <v>96</v>
      </c>
      <c r="B301" s="32">
        <v>45748</v>
      </c>
      <c r="C301" s="25" t="s">
        <v>27</v>
      </c>
      <c r="D301" s="25" t="s">
        <v>18</v>
      </c>
      <c r="E301" s="25">
        <v>24362.98</v>
      </c>
      <c r="F301" s="25">
        <v>1462</v>
      </c>
      <c r="G301" s="25">
        <v>0.11700000000000001</v>
      </c>
      <c r="H301" s="25">
        <v>6</v>
      </c>
      <c r="I301" s="25">
        <v>89.3</v>
      </c>
      <c r="J301" s="25">
        <v>15.06</v>
      </c>
      <c r="K301" s="25">
        <v>0</v>
      </c>
      <c r="L301" s="25">
        <v>3.2</v>
      </c>
      <c r="M301" s="25">
        <v>401582.58</v>
      </c>
      <c r="N301" s="25">
        <v>68454.929999999993</v>
      </c>
      <c r="O301" s="25">
        <f t="shared" si="24"/>
        <v>0</v>
      </c>
      <c r="P301" s="25">
        <f t="shared" si="25"/>
        <v>0</v>
      </c>
      <c r="Q301" s="25">
        <f t="shared" si="26"/>
        <v>1</v>
      </c>
      <c r="R301" s="25">
        <f t="shared" si="27"/>
        <v>1</v>
      </c>
      <c r="S301" s="25">
        <f t="shared" si="28"/>
        <v>0</v>
      </c>
      <c r="T301" s="25">
        <f t="shared" si="29"/>
        <v>0</v>
      </c>
    </row>
    <row r="302" spans="1:20">
      <c r="A302" s="25" t="s">
        <v>97</v>
      </c>
      <c r="B302" s="32">
        <v>45658</v>
      </c>
      <c r="C302" s="25" t="s">
        <v>20</v>
      </c>
      <c r="D302" s="25" t="s">
        <v>28</v>
      </c>
      <c r="E302" s="25">
        <v>40647.67</v>
      </c>
      <c r="F302" s="25">
        <v>8252</v>
      </c>
      <c r="G302" s="25">
        <v>0.14099999999999999</v>
      </c>
      <c r="H302" s="25">
        <v>22</v>
      </c>
      <c r="I302" s="25">
        <v>88.2</v>
      </c>
      <c r="J302" s="25">
        <v>5.07</v>
      </c>
      <c r="K302" s="25">
        <v>1</v>
      </c>
      <c r="L302" s="25">
        <v>4.0999999999999996</v>
      </c>
      <c r="M302" s="25">
        <v>703812.99</v>
      </c>
      <c r="N302" s="25">
        <v>133577.98000000001</v>
      </c>
      <c r="O302" s="25">
        <f t="shared" si="24"/>
        <v>1</v>
      </c>
      <c r="P302" s="25">
        <f t="shared" si="25"/>
        <v>0</v>
      </c>
      <c r="Q302" s="25">
        <f t="shared" si="26"/>
        <v>0</v>
      </c>
      <c r="R302" s="25">
        <f t="shared" si="27"/>
        <v>0</v>
      </c>
      <c r="S302" s="25">
        <f t="shared" si="28"/>
        <v>1</v>
      </c>
      <c r="T302" s="25">
        <f t="shared" si="29"/>
        <v>0</v>
      </c>
    </row>
    <row r="303" spans="1:20">
      <c r="A303" s="25" t="s">
        <v>97</v>
      </c>
      <c r="B303" s="32">
        <v>45689</v>
      </c>
      <c r="C303" s="25" t="s">
        <v>20</v>
      </c>
      <c r="D303" s="25" t="s">
        <v>28</v>
      </c>
      <c r="E303" s="25">
        <v>63986.98</v>
      </c>
      <c r="F303" s="25">
        <v>7989</v>
      </c>
      <c r="G303" s="25">
        <v>7.3999999999999996E-2</v>
      </c>
      <c r="H303" s="25">
        <v>20</v>
      </c>
      <c r="I303" s="25">
        <v>83.3</v>
      </c>
      <c r="J303" s="25">
        <v>3.6</v>
      </c>
      <c r="K303" s="25">
        <v>0</v>
      </c>
      <c r="L303" s="25">
        <v>3.7</v>
      </c>
      <c r="M303" s="25">
        <v>724346.73</v>
      </c>
      <c r="N303" s="25">
        <v>155013.91</v>
      </c>
      <c r="O303" s="25">
        <f t="shared" si="24"/>
        <v>1</v>
      </c>
      <c r="P303" s="25">
        <f t="shared" si="25"/>
        <v>0</v>
      </c>
      <c r="Q303" s="25">
        <f t="shared" si="26"/>
        <v>0</v>
      </c>
      <c r="R303" s="25">
        <f t="shared" si="27"/>
        <v>0</v>
      </c>
      <c r="S303" s="25">
        <f t="shared" si="28"/>
        <v>1</v>
      </c>
      <c r="T303" s="25">
        <f t="shared" si="29"/>
        <v>0</v>
      </c>
    </row>
    <row r="304" spans="1:20">
      <c r="A304" s="25" t="s">
        <v>97</v>
      </c>
      <c r="B304" s="32">
        <v>45717</v>
      </c>
      <c r="C304" s="25" t="s">
        <v>20</v>
      </c>
      <c r="D304" s="25" t="s">
        <v>28</v>
      </c>
      <c r="E304" s="25">
        <v>52843.75</v>
      </c>
      <c r="F304" s="25">
        <v>8268</v>
      </c>
      <c r="G304" s="25">
        <v>0.13800000000000001</v>
      </c>
      <c r="H304" s="25">
        <v>19</v>
      </c>
      <c r="I304" s="25">
        <v>87.3</v>
      </c>
      <c r="J304" s="25">
        <v>4.3899999999999997</v>
      </c>
      <c r="K304" s="25">
        <v>1</v>
      </c>
      <c r="L304" s="25">
        <v>4.7</v>
      </c>
      <c r="M304" s="25">
        <v>730890.01</v>
      </c>
      <c r="N304" s="25">
        <v>105502.56</v>
      </c>
      <c r="O304" s="25">
        <f t="shared" si="24"/>
        <v>1</v>
      </c>
      <c r="P304" s="25">
        <f t="shared" si="25"/>
        <v>0</v>
      </c>
      <c r="Q304" s="25">
        <f t="shared" si="26"/>
        <v>0</v>
      </c>
      <c r="R304" s="25">
        <f t="shared" si="27"/>
        <v>0</v>
      </c>
      <c r="S304" s="25">
        <f t="shared" si="28"/>
        <v>1</v>
      </c>
      <c r="T304" s="25">
        <f t="shared" si="29"/>
        <v>0</v>
      </c>
    </row>
    <row r="305" spans="1:20">
      <c r="A305" s="25" t="s">
        <v>97</v>
      </c>
      <c r="B305" s="32">
        <v>45748</v>
      </c>
      <c r="C305" s="25" t="s">
        <v>20</v>
      </c>
      <c r="D305" s="25" t="s">
        <v>28</v>
      </c>
      <c r="E305" s="25">
        <v>31997.25</v>
      </c>
      <c r="F305" s="25">
        <v>8183</v>
      </c>
      <c r="G305" s="25">
        <v>0.19800000000000001</v>
      </c>
      <c r="H305" s="25">
        <v>18</v>
      </c>
      <c r="I305" s="25">
        <v>93</v>
      </c>
      <c r="J305" s="25">
        <v>2.79</v>
      </c>
      <c r="K305" s="25">
        <v>0</v>
      </c>
      <c r="L305" s="25">
        <v>4.2</v>
      </c>
      <c r="M305" s="25">
        <v>780580.95</v>
      </c>
      <c r="N305" s="25">
        <v>138144.46</v>
      </c>
      <c r="O305" s="25">
        <f t="shared" si="24"/>
        <v>1</v>
      </c>
      <c r="P305" s="25">
        <f t="shared" si="25"/>
        <v>0</v>
      </c>
      <c r="Q305" s="25">
        <f t="shared" si="26"/>
        <v>0</v>
      </c>
      <c r="R305" s="25">
        <f t="shared" si="27"/>
        <v>0</v>
      </c>
      <c r="S305" s="25">
        <f t="shared" si="28"/>
        <v>1</v>
      </c>
      <c r="T305" s="25">
        <f t="shared" si="29"/>
        <v>0</v>
      </c>
    </row>
    <row r="306" spans="1:20">
      <c r="A306" s="25" t="s">
        <v>98</v>
      </c>
      <c r="B306" s="32">
        <v>45658</v>
      </c>
      <c r="C306" s="25" t="s">
        <v>24</v>
      </c>
      <c r="D306" s="25" t="s">
        <v>16</v>
      </c>
      <c r="E306" s="25">
        <v>54948.02</v>
      </c>
      <c r="F306" s="25">
        <v>6534</v>
      </c>
      <c r="G306" s="25">
        <v>0.183</v>
      </c>
      <c r="H306" s="25">
        <v>14</v>
      </c>
      <c r="I306" s="25">
        <v>94.5</v>
      </c>
      <c r="J306" s="25">
        <v>1.56</v>
      </c>
      <c r="K306" s="25">
        <v>0</v>
      </c>
      <c r="L306" s="25">
        <v>4</v>
      </c>
      <c r="M306" s="25">
        <v>727957.48</v>
      </c>
      <c r="N306" s="25">
        <v>74805.23</v>
      </c>
      <c r="O306" s="25">
        <f t="shared" si="24"/>
        <v>0</v>
      </c>
      <c r="P306" s="25">
        <f t="shared" si="25"/>
        <v>1</v>
      </c>
      <c r="Q306" s="25">
        <f t="shared" si="26"/>
        <v>0</v>
      </c>
      <c r="R306" s="25">
        <f t="shared" si="27"/>
        <v>0</v>
      </c>
      <c r="S306" s="25">
        <f t="shared" si="28"/>
        <v>0</v>
      </c>
      <c r="T306" s="25">
        <f t="shared" si="29"/>
        <v>1</v>
      </c>
    </row>
    <row r="307" spans="1:20">
      <c r="A307" s="25" t="s">
        <v>98</v>
      </c>
      <c r="B307" s="32">
        <v>45689</v>
      </c>
      <c r="C307" s="25" t="s">
        <v>24</v>
      </c>
      <c r="D307" s="25" t="s">
        <v>16</v>
      </c>
      <c r="E307" s="25">
        <v>46146.239999999998</v>
      </c>
      <c r="F307" s="25">
        <v>5804</v>
      </c>
      <c r="G307" s="25">
        <v>4.7E-2</v>
      </c>
      <c r="H307" s="25">
        <v>16</v>
      </c>
      <c r="I307" s="25">
        <v>86.9</v>
      </c>
      <c r="J307" s="25">
        <v>15.82</v>
      </c>
      <c r="K307" s="25">
        <v>0</v>
      </c>
      <c r="L307" s="25">
        <v>3.8</v>
      </c>
      <c r="M307" s="25">
        <v>538376</v>
      </c>
      <c r="N307" s="25">
        <v>87605.62</v>
      </c>
      <c r="O307" s="25">
        <f t="shared" si="24"/>
        <v>0</v>
      </c>
      <c r="P307" s="25">
        <f t="shared" si="25"/>
        <v>1</v>
      </c>
      <c r="Q307" s="25">
        <f t="shared" si="26"/>
        <v>0</v>
      </c>
      <c r="R307" s="25">
        <f t="shared" si="27"/>
        <v>0</v>
      </c>
      <c r="S307" s="25">
        <f t="shared" si="28"/>
        <v>0</v>
      </c>
      <c r="T307" s="25">
        <f t="shared" si="29"/>
        <v>1</v>
      </c>
    </row>
    <row r="308" spans="1:20">
      <c r="A308" s="25" t="s">
        <v>98</v>
      </c>
      <c r="B308" s="32">
        <v>45717</v>
      </c>
      <c r="C308" s="25" t="s">
        <v>24</v>
      </c>
      <c r="D308" s="25" t="s">
        <v>16</v>
      </c>
      <c r="E308" s="25">
        <v>22387.26</v>
      </c>
      <c r="F308" s="25">
        <v>6301</v>
      </c>
      <c r="G308" s="25">
        <v>0.14599999999999999</v>
      </c>
      <c r="H308" s="25">
        <v>14</v>
      </c>
      <c r="I308" s="25">
        <v>85.9</v>
      </c>
      <c r="J308" s="25">
        <v>1.17</v>
      </c>
      <c r="K308" s="25">
        <v>1</v>
      </c>
      <c r="L308" s="25">
        <v>3.7</v>
      </c>
      <c r="M308" s="25">
        <v>665342.49</v>
      </c>
      <c r="N308" s="25">
        <v>93441.81</v>
      </c>
      <c r="O308" s="25">
        <f t="shared" si="24"/>
        <v>0</v>
      </c>
      <c r="P308" s="25">
        <f t="shared" si="25"/>
        <v>1</v>
      </c>
      <c r="Q308" s="25">
        <f t="shared" si="26"/>
        <v>0</v>
      </c>
      <c r="R308" s="25">
        <f t="shared" si="27"/>
        <v>0</v>
      </c>
      <c r="S308" s="25">
        <f t="shared" si="28"/>
        <v>0</v>
      </c>
      <c r="T308" s="25">
        <f t="shared" si="29"/>
        <v>1</v>
      </c>
    </row>
    <row r="309" spans="1:20">
      <c r="A309" s="25" t="s">
        <v>98</v>
      </c>
      <c r="B309" s="32">
        <v>45748</v>
      </c>
      <c r="C309" s="25" t="s">
        <v>24</v>
      </c>
      <c r="D309" s="25" t="s">
        <v>16</v>
      </c>
      <c r="E309" s="25">
        <v>60684.05</v>
      </c>
      <c r="F309" s="25">
        <v>6399</v>
      </c>
      <c r="G309" s="25">
        <v>7.4999999999999997E-2</v>
      </c>
      <c r="H309" s="25">
        <v>16</v>
      </c>
      <c r="I309" s="25">
        <v>99</v>
      </c>
      <c r="J309" s="25">
        <v>3.82</v>
      </c>
      <c r="K309" s="25">
        <v>0</v>
      </c>
      <c r="L309" s="25">
        <v>3.5</v>
      </c>
      <c r="M309" s="25">
        <v>651164.18000000005</v>
      </c>
      <c r="N309" s="25">
        <v>109466.5</v>
      </c>
      <c r="O309" s="25">
        <f t="shared" si="24"/>
        <v>0</v>
      </c>
      <c r="P309" s="25">
        <f t="shared" si="25"/>
        <v>1</v>
      </c>
      <c r="Q309" s="25">
        <f t="shared" si="26"/>
        <v>0</v>
      </c>
      <c r="R309" s="25">
        <f t="shared" si="27"/>
        <v>0</v>
      </c>
      <c r="S309" s="25">
        <f t="shared" si="28"/>
        <v>0</v>
      </c>
      <c r="T309" s="25">
        <f t="shared" si="29"/>
        <v>1</v>
      </c>
    </row>
    <row r="310" spans="1:20">
      <c r="A310" s="25" t="s">
        <v>99</v>
      </c>
      <c r="B310" s="32">
        <v>45658</v>
      </c>
      <c r="C310" s="25" t="s">
        <v>24</v>
      </c>
      <c r="D310" s="25" t="s">
        <v>18</v>
      </c>
      <c r="E310" s="25">
        <v>48465.599999999999</v>
      </c>
      <c r="F310" s="25">
        <v>5759</v>
      </c>
      <c r="G310" s="25">
        <v>0.154</v>
      </c>
      <c r="H310" s="25">
        <v>13</v>
      </c>
      <c r="I310" s="25">
        <v>87.5</v>
      </c>
      <c r="J310" s="25">
        <v>4.1399999999999997</v>
      </c>
      <c r="K310" s="25">
        <v>0</v>
      </c>
      <c r="L310" s="25">
        <v>4</v>
      </c>
      <c r="M310" s="25">
        <v>628538.30000000005</v>
      </c>
      <c r="N310" s="25">
        <v>112509.15</v>
      </c>
      <c r="O310" s="25">
        <f t="shared" si="24"/>
        <v>0</v>
      </c>
      <c r="P310" s="25">
        <f t="shared" si="25"/>
        <v>1</v>
      </c>
      <c r="Q310" s="25">
        <f t="shared" si="26"/>
        <v>0</v>
      </c>
      <c r="R310" s="25">
        <f t="shared" si="27"/>
        <v>1</v>
      </c>
      <c r="S310" s="25">
        <f t="shared" si="28"/>
        <v>0</v>
      </c>
      <c r="T310" s="25">
        <f t="shared" si="29"/>
        <v>0</v>
      </c>
    </row>
    <row r="311" spans="1:20">
      <c r="A311" s="25" t="s">
        <v>99</v>
      </c>
      <c r="B311" s="32">
        <v>45689</v>
      </c>
      <c r="C311" s="25" t="s">
        <v>24</v>
      </c>
      <c r="D311" s="25" t="s">
        <v>18</v>
      </c>
      <c r="E311" s="25">
        <v>23702.38</v>
      </c>
      <c r="F311" s="25">
        <v>5285</v>
      </c>
      <c r="G311" s="25">
        <v>0.16700000000000001</v>
      </c>
      <c r="H311" s="25">
        <v>14</v>
      </c>
      <c r="I311" s="25">
        <v>79.7</v>
      </c>
      <c r="J311" s="25">
        <v>1.1000000000000001</v>
      </c>
      <c r="K311" s="25">
        <v>0</v>
      </c>
      <c r="L311" s="25">
        <v>4.3</v>
      </c>
      <c r="M311" s="25">
        <v>536524.84</v>
      </c>
      <c r="N311" s="25">
        <v>92752.94</v>
      </c>
      <c r="O311" s="25">
        <f t="shared" si="24"/>
        <v>0</v>
      </c>
      <c r="P311" s="25">
        <f t="shared" si="25"/>
        <v>1</v>
      </c>
      <c r="Q311" s="25">
        <f t="shared" si="26"/>
        <v>0</v>
      </c>
      <c r="R311" s="25">
        <f t="shared" si="27"/>
        <v>1</v>
      </c>
      <c r="S311" s="25">
        <f t="shared" si="28"/>
        <v>0</v>
      </c>
      <c r="T311" s="25">
        <f t="shared" si="29"/>
        <v>0</v>
      </c>
    </row>
    <row r="312" spans="1:20">
      <c r="A312" s="25" t="s">
        <v>99</v>
      </c>
      <c r="B312" s="32">
        <v>45717</v>
      </c>
      <c r="C312" s="25" t="s">
        <v>24</v>
      </c>
      <c r="D312" s="25" t="s">
        <v>18</v>
      </c>
      <c r="E312" s="25">
        <v>54322.94</v>
      </c>
      <c r="F312" s="25">
        <v>5434</v>
      </c>
      <c r="G312" s="25">
        <v>0.2</v>
      </c>
      <c r="H312" s="25">
        <v>13</v>
      </c>
      <c r="I312" s="25">
        <v>85.7</v>
      </c>
      <c r="J312" s="25">
        <v>10.6</v>
      </c>
      <c r="K312" s="25">
        <v>0</v>
      </c>
      <c r="L312" s="25">
        <v>4.2</v>
      </c>
      <c r="M312" s="25">
        <v>621677.30000000005</v>
      </c>
      <c r="N312" s="25">
        <v>105192.52</v>
      </c>
      <c r="O312" s="25">
        <f t="shared" si="24"/>
        <v>0</v>
      </c>
      <c r="P312" s="25">
        <f t="shared" si="25"/>
        <v>1</v>
      </c>
      <c r="Q312" s="25">
        <f t="shared" si="26"/>
        <v>0</v>
      </c>
      <c r="R312" s="25">
        <f t="shared" si="27"/>
        <v>1</v>
      </c>
      <c r="S312" s="25">
        <f t="shared" si="28"/>
        <v>0</v>
      </c>
      <c r="T312" s="25">
        <f t="shared" si="29"/>
        <v>0</v>
      </c>
    </row>
    <row r="313" spans="1:20">
      <c r="A313" s="25" t="s">
        <v>99</v>
      </c>
      <c r="B313" s="32">
        <v>45748</v>
      </c>
      <c r="C313" s="25" t="s">
        <v>24</v>
      </c>
      <c r="D313" s="25" t="s">
        <v>18</v>
      </c>
      <c r="E313" s="25">
        <v>86026.58</v>
      </c>
      <c r="F313" s="25">
        <v>7479</v>
      </c>
      <c r="G313" s="25">
        <v>0.14199999999999999</v>
      </c>
      <c r="H313" s="25">
        <v>20</v>
      </c>
      <c r="I313" s="25">
        <v>89</v>
      </c>
      <c r="J313" s="25">
        <v>0.9</v>
      </c>
      <c r="K313" s="25">
        <v>0</v>
      </c>
      <c r="L313" s="25">
        <v>3.92</v>
      </c>
      <c r="M313" s="25">
        <v>771129.07</v>
      </c>
      <c r="N313" s="25">
        <v>116851.13</v>
      </c>
      <c r="O313" s="25">
        <f t="shared" si="24"/>
        <v>0</v>
      </c>
      <c r="P313" s="25">
        <f t="shared" si="25"/>
        <v>1</v>
      </c>
      <c r="Q313" s="25">
        <f t="shared" si="26"/>
        <v>0</v>
      </c>
      <c r="R313" s="25">
        <f t="shared" si="27"/>
        <v>1</v>
      </c>
      <c r="S313" s="25">
        <f t="shared" si="28"/>
        <v>0</v>
      </c>
      <c r="T313" s="25">
        <f t="shared" si="29"/>
        <v>0</v>
      </c>
    </row>
    <row r="314" spans="1:20">
      <c r="A314" s="25" t="s">
        <v>100</v>
      </c>
      <c r="B314" s="32">
        <v>45658</v>
      </c>
      <c r="C314" s="25" t="s">
        <v>20</v>
      </c>
      <c r="D314" s="25" t="s">
        <v>16</v>
      </c>
      <c r="E314" s="25">
        <v>78967.520000000004</v>
      </c>
      <c r="F314" s="25">
        <v>6164</v>
      </c>
      <c r="G314" s="25">
        <v>2.1000000000000001E-2</v>
      </c>
      <c r="H314" s="25">
        <v>16</v>
      </c>
      <c r="I314" s="25">
        <v>85.5</v>
      </c>
      <c r="J314" s="25">
        <v>0.2</v>
      </c>
      <c r="K314" s="25">
        <v>0</v>
      </c>
      <c r="L314" s="25">
        <v>3.4</v>
      </c>
      <c r="M314" s="25">
        <v>702052.47</v>
      </c>
      <c r="N314" s="25">
        <v>121732.51</v>
      </c>
      <c r="O314" s="25">
        <f t="shared" si="24"/>
        <v>1</v>
      </c>
      <c r="P314" s="25">
        <f t="shared" si="25"/>
        <v>0</v>
      </c>
      <c r="Q314" s="25">
        <f t="shared" si="26"/>
        <v>0</v>
      </c>
      <c r="R314" s="25">
        <f t="shared" si="27"/>
        <v>0</v>
      </c>
      <c r="S314" s="25">
        <f t="shared" si="28"/>
        <v>0</v>
      </c>
      <c r="T314" s="25">
        <f t="shared" si="29"/>
        <v>1</v>
      </c>
    </row>
    <row r="315" spans="1:20">
      <c r="A315" s="25" t="s">
        <v>100</v>
      </c>
      <c r="B315" s="32">
        <v>45689</v>
      </c>
      <c r="C315" s="25" t="s">
        <v>20</v>
      </c>
      <c r="D315" s="25" t="s">
        <v>16</v>
      </c>
      <c r="E315" s="25">
        <v>46767.99</v>
      </c>
      <c r="F315" s="25">
        <v>7973</v>
      </c>
      <c r="G315" s="25">
        <v>0.183</v>
      </c>
      <c r="H315" s="25">
        <v>18</v>
      </c>
      <c r="I315" s="25">
        <v>94.8</v>
      </c>
      <c r="J315" s="25">
        <v>4.67</v>
      </c>
      <c r="K315" s="25">
        <v>0</v>
      </c>
      <c r="L315" s="25">
        <v>3.92</v>
      </c>
      <c r="M315" s="25">
        <v>688368.46</v>
      </c>
      <c r="N315" s="25">
        <v>93588.42</v>
      </c>
      <c r="O315" s="25">
        <f t="shared" si="24"/>
        <v>1</v>
      </c>
      <c r="P315" s="25">
        <f t="shared" si="25"/>
        <v>0</v>
      </c>
      <c r="Q315" s="25">
        <f t="shared" si="26"/>
        <v>0</v>
      </c>
      <c r="R315" s="25">
        <f t="shared" si="27"/>
        <v>0</v>
      </c>
      <c r="S315" s="25">
        <f t="shared" si="28"/>
        <v>0</v>
      </c>
      <c r="T315" s="25">
        <f t="shared" si="29"/>
        <v>1</v>
      </c>
    </row>
    <row r="316" spans="1:20">
      <c r="A316" s="25" t="s">
        <v>100</v>
      </c>
      <c r="B316" s="32">
        <v>45717</v>
      </c>
      <c r="C316" s="25" t="s">
        <v>20</v>
      </c>
      <c r="D316" s="25" t="s">
        <v>16</v>
      </c>
      <c r="E316" s="25">
        <v>62507.16</v>
      </c>
      <c r="F316" s="25">
        <v>6000</v>
      </c>
      <c r="G316" s="25">
        <v>9.0999999999999998E-2</v>
      </c>
      <c r="H316" s="25">
        <v>14</v>
      </c>
      <c r="I316" s="25">
        <v>98.2</v>
      </c>
      <c r="J316" s="25">
        <v>4.38</v>
      </c>
      <c r="K316" s="25">
        <v>1</v>
      </c>
      <c r="L316" s="25">
        <v>3.9</v>
      </c>
      <c r="M316" s="25">
        <v>712375.77</v>
      </c>
      <c r="N316" s="25">
        <v>104171.53</v>
      </c>
      <c r="O316" s="25">
        <f t="shared" si="24"/>
        <v>1</v>
      </c>
      <c r="P316" s="25">
        <f t="shared" si="25"/>
        <v>0</v>
      </c>
      <c r="Q316" s="25">
        <f t="shared" si="26"/>
        <v>0</v>
      </c>
      <c r="R316" s="25">
        <f t="shared" si="27"/>
        <v>0</v>
      </c>
      <c r="S316" s="25">
        <f t="shared" si="28"/>
        <v>0</v>
      </c>
      <c r="T316" s="25">
        <f t="shared" si="29"/>
        <v>1</v>
      </c>
    </row>
    <row r="317" spans="1:20">
      <c r="A317" s="25" t="s">
        <v>100</v>
      </c>
      <c r="B317" s="32">
        <v>45748</v>
      </c>
      <c r="C317" s="25" t="s">
        <v>20</v>
      </c>
      <c r="D317" s="25" t="s">
        <v>16</v>
      </c>
      <c r="E317" s="25">
        <v>66456.28</v>
      </c>
      <c r="F317" s="25">
        <v>9967</v>
      </c>
      <c r="G317" s="25">
        <v>0.108</v>
      </c>
      <c r="H317" s="25">
        <v>20</v>
      </c>
      <c r="I317" s="25">
        <v>94.7</v>
      </c>
      <c r="J317" s="25">
        <v>4.4800000000000004</v>
      </c>
      <c r="K317" s="25">
        <v>0</v>
      </c>
      <c r="L317" s="25">
        <v>4.2</v>
      </c>
      <c r="M317" s="25">
        <v>844710.67</v>
      </c>
      <c r="N317" s="25">
        <v>137140.18</v>
      </c>
      <c r="O317" s="25">
        <f t="shared" si="24"/>
        <v>1</v>
      </c>
      <c r="P317" s="25">
        <f t="shared" si="25"/>
        <v>0</v>
      </c>
      <c r="Q317" s="25">
        <f t="shared" si="26"/>
        <v>0</v>
      </c>
      <c r="R317" s="25">
        <f t="shared" si="27"/>
        <v>0</v>
      </c>
      <c r="S317" s="25">
        <f t="shared" si="28"/>
        <v>0</v>
      </c>
      <c r="T317" s="25">
        <f t="shared" si="29"/>
        <v>1</v>
      </c>
    </row>
    <row r="318" spans="1:20">
      <c r="A318" s="25" t="s">
        <v>101</v>
      </c>
      <c r="B318" s="32">
        <v>45658</v>
      </c>
      <c r="C318" s="25" t="s">
        <v>15</v>
      </c>
      <c r="D318" s="25" t="s">
        <v>16</v>
      </c>
      <c r="E318" s="25">
        <v>76614.320000000007</v>
      </c>
      <c r="F318" s="25">
        <v>5639</v>
      </c>
      <c r="G318" s="25">
        <v>0.17399999999999999</v>
      </c>
      <c r="H318" s="25">
        <v>15</v>
      </c>
      <c r="I318" s="25">
        <v>92.9</v>
      </c>
      <c r="J318" s="25">
        <v>1.02</v>
      </c>
      <c r="K318" s="25">
        <v>1</v>
      </c>
      <c r="L318" s="25">
        <v>4</v>
      </c>
      <c r="M318" s="25">
        <v>620264.19999999995</v>
      </c>
      <c r="N318" s="25">
        <v>91365.64</v>
      </c>
      <c r="O318" s="25">
        <f t="shared" si="24"/>
        <v>0</v>
      </c>
      <c r="P318" s="25">
        <f t="shared" si="25"/>
        <v>0</v>
      </c>
      <c r="Q318" s="25">
        <f t="shared" si="26"/>
        <v>0</v>
      </c>
      <c r="R318" s="25">
        <f t="shared" si="27"/>
        <v>0</v>
      </c>
      <c r="S318" s="25">
        <f t="shared" si="28"/>
        <v>0</v>
      </c>
      <c r="T318" s="25">
        <f t="shared" si="29"/>
        <v>1</v>
      </c>
    </row>
    <row r="319" spans="1:20">
      <c r="A319" s="25" t="s">
        <v>101</v>
      </c>
      <c r="B319" s="32">
        <v>45689</v>
      </c>
      <c r="C319" s="25" t="s">
        <v>15</v>
      </c>
      <c r="D319" s="25" t="s">
        <v>16</v>
      </c>
      <c r="E319" s="25">
        <v>24088.06</v>
      </c>
      <c r="F319" s="25">
        <v>3466</v>
      </c>
      <c r="G319" s="25">
        <v>0</v>
      </c>
      <c r="H319" s="25">
        <v>11</v>
      </c>
      <c r="I319" s="25">
        <v>88</v>
      </c>
      <c r="J319" s="25">
        <v>0.2</v>
      </c>
      <c r="K319" s="25">
        <v>0</v>
      </c>
      <c r="L319" s="25">
        <v>3.8</v>
      </c>
      <c r="M319" s="25">
        <v>536845.42000000004</v>
      </c>
      <c r="N319" s="25">
        <v>107473.75</v>
      </c>
      <c r="O319" s="25">
        <f t="shared" si="24"/>
        <v>0</v>
      </c>
      <c r="P319" s="25">
        <f t="shared" si="25"/>
        <v>0</v>
      </c>
      <c r="Q319" s="25">
        <f t="shared" si="26"/>
        <v>0</v>
      </c>
      <c r="R319" s="25">
        <f t="shared" si="27"/>
        <v>0</v>
      </c>
      <c r="S319" s="25">
        <f t="shared" si="28"/>
        <v>0</v>
      </c>
      <c r="T319" s="25">
        <f t="shared" si="29"/>
        <v>1</v>
      </c>
    </row>
    <row r="320" spans="1:20">
      <c r="A320" s="25" t="s">
        <v>101</v>
      </c>
      <c r="B320" s="32">
        <v>45717</v>
      </c>
      <c r="C320" s="25" t="s">
        <v>15</v>
      </c>
      <c r="D320" s="25" t="s">
        <v>16</v>
      </c>
      <c r="E320" s="25">
        <v>81902.58</v>
      </c>
      <c r="F320" s="25">
        <v>7775</v>
      </c>
      <c r="G320" s="25">
        <v>0.215</v>
      </c>
      <c r="H320" s="25">
        <v>20</v>
      </c>
      <c r="I320" s="25">
        <v>85.2</v>
      </c>
      <c r="J320" s="25">
        <v>4.8899999999999997</v>
      </c>
      <c r="K320" s="25">
        <v>1</v>
      </c>
      <c r="L320" s="25">
        <v>4.2</v>
      </c>
      <c r="M320" s="25">
        <v>726776.22</v>
      </c>
      <c r="N320" s="25">
        <v>90804.49</v>
      </c>
      <c r="O320" s="25">
        <f t="shared" si="24"/>
        <v>0</v>
      </c>
      <c r="P320" s="25">
        <f t="shared" si="25"/>
        <v>0</v>
      </c>
      <c r="Q320" s="25">
        <f t="shared" si="26"/>
        <v>0</v>
      </c>
      <c r="R320" s="25">
        <f t="shared" si="27"/>
        <v>0</v>
      </c>
      <c r="S320" s="25">
        <f t="shared" si="28"/>
        <v>0</v>
      </c>
      <c r="T320" s="25">
        <f t="shared" si="29"/>
        <v>1</v>
      </c>
    </row>
    <row r="321" spans="1:20">
      <c r="A321" s="25" t="s">
        <v>101</v>
      </c>
      <c r="B321" s="32">
        <v>45748</v>
      </c>
      <c r="C321" s="25" t="s">
        <v>15</v>
      </c>
      <c r="D321" s="25" t="s">
        <v>16</v>
      </c>
      <c r="E321" s="25">
        <v>40553.11</v>
      </c>
      <c r="F321" s="25">
        <v>5317</v>
      </c>
      <c r="G321" s="25">
        <v>0.16500000000000001</v>
      </c>
      <c r="H321" s="25">
        <v>17</v>
      </c>
      <c r="I321" s="25">
        <v>84.3</v>
      </c>
      <c r="J321" s="25">
        <v>11.82</v>
      </c>
      <c r="K321" s="25">
        <v>0</v>
      </c>
      <c r="L321" s="25">
        <v>4.0999999999999996</v>
      </c>
      <c r="M321" s="25">
        <v>559660.84</v>
      </c>
      <c r="N321" s="25">
        <v>71443.61</v>
      </c>
      <c r="O321" s="25">
        <f t="shared" si="24"/>
        <v>0</v>
      </c>
      <c r="P321" s="25">
        <f t="shared" si="25"/>
        <v>0</v>
      </c>
      <c r="Q321" s="25">
        <f t="shared" si="26"/>
        <v>0</v>
      </c>
      <c r="R321" s="25">
        <f t="shared" si="27"/>
        <v>0</v>
      </c>
      <c r="S321" s="25">
        <f t="shared" si="28"/>
        <v>0</v>
      </c>
      <c r="T321" s="25">
        <f t="shared" si="29"/>
        <v>1</v>
      </c>
    </row>
  </sheetData>
  <autoFilter ref="A1:Q321" xr:uid="{D1E5E0FE-656A-4CCD-AD3C-6240FA814F7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1D17-4779-4A9B-8646-EFA81F19B839}">
  <dimension ref="A1:I42"/>
  <sheetViews>
    <sheetView zoomScaleNormal="100" workbookViewId="0">
      <selection activeCell="G31" sqref="G31"/>
    </sheetView>
  </sheetViews>
  <sheetFormatPr defaultRowHeight="14"/>
  <cols>
    <col min="1" max="1" width="20.9140625" customWidth="1"/>
    <col min="2" max="2" width="16.1640625" customWidth="1"/>
    <col min="3" max="3" width="17.9140625" customWidth="1"/>
    <col min="4" max="4" width="14.83203125" customWidth="1"/>
    <col min="5" max="5" width="15.75" customWidth="1"/>
    <col min="6" max="6" width="19.1640625" customWidth="1"/>
    <col min="7" max="7" width="11.58203125" customWidth="1"/>
    <col min="8" max="8" width="12.33203125" customWidth="1"/>
    <col min="9" max="9" width="13.83203125" customWidth="1"/>
  </cols>
  <sheetData>
    <row r="1" spans="1:6">
      <c r="A1" s="15" t="s">
        <v>141</v>
      </c>
      <c r="B1" s="12"/>
      <c r="C1" s="12"/>
    </row>
    <row r="3" spans="1:6">
      <c r="A3" s="14" t="s">
        <v>114</v>
      </c>
    </row>
    <row r="4" spans="1:6" ht="14.5" thickBot="1"/>
    <row r="5" spans="1:6" ht="14.5">
      <c r="A5" s="13" t="s">
        <v>115</v>
      </c>
      <c r="B5" s="13"/>
    </row>
    <row r="6" spans="1:6">
      <c r="A6" s="9" t="s">
        <v>116</v>
      </c>
      <c r="B6" s="9">
        <v>0.85807070804410468</v>
      </c>
    </row>
    <row r="7" spans="1:6">
      <c r="A7" s="9" t="s">
        <v>117</v>
      </c>
      <c r="B7" s="9">
        <v>0.73628534000331114</v>
      </c>
    </row>
    <row r="8" spans="1:6">
      <c r="A8" s="9" t="s">
        <v>118</v>
      </c>
      <c r="B8" s="9">
        <v>0.73545604861967373</v>
      </c>
    </row>
    <row r="9" spans="1:6">
      <c r="A9" s="9" t="s">
        <v>119</v>
      </c>
      <c r="B9" s="9">
        <v>53373.736380790499</v>
      </c>
    </row>
    <row r="10" spans="1:6" ht="14.5" thickBot="1">
      <c r="A10" s="10" t="s">
        <v>120</v>
      </c>
      <c r="B10" s="10">
        <v>320</v>
      </c>
    </row>
    <row r="12" spans="1:6" ht="14.5" thickBot="1">
      <c r="A12" t="s">
        <v>121</v>
      </c>
    </row>
    <row r="13" spans="1:6" ht="14.5">
      <c r="A13" s="11"/>
      <c r="B13" s="11" t="s">
        <v>126</v>
      </c>
      <c r="C13" s="11" t="s">
        <v>127</v>
      </c>
      <c r="D13" s="11" t="s">
        <v>128</v>
      </c>
      <c r="E13" s="11" t="s">
        <v>129</v>
      </c>
      <c r="F13" s="11" t="s">
        <v>130</v>
      </c>
    </row>
    <row r="14" spans="1:6">
      <c r="A14" s="9" t="s">
        <v>122</v>
      </c>
      <c r="B14" s="9">
        <v>1</v>
      </c>
      <c r="C14" s="9">
        <v>2529264292982.4736</v>
      </c>
      <c r="D14" s="9">
        <v>2529264292982.4736</v>
      </c>
      <c r="E14" s="9">
        <v>887.84877611276033</v>
      </c>
      <c r="F14" s="9">
        <v>4.7503615090053331E-94</v>
      </c>
    </row>
    <row r="15" spans="1:6">
      <c r="A15" s="9" t="s">
        <v>123</v>
      </c>
      <c r="B15" s="9">
        <v>318</v>
      </c>
      <c r="C15" s="9">
        <v>905904323808.26587</v>
      </c>
      <c r="D15" s="9">
        <v>2848755735.246119</v>
      </c>
      <c r="E15" s="9"/>
      <c r="F15" s="9"/>
    </row>
    <row r="16" spans="1:6" ht="14.5" thickBot="1">
      <c r="A16" s="10" t="s">
        <v>124</v>
      </c>
      <c r="B16" s="10">
        <v>319</v>
      </c>
      <c r="C16" s="10">
        <v>3435168616790.7393</v>
      </c>
      <c r="D16" s="10"/>
      <c r="E16" s="10"/>
      <c r="F16" s="10"/>
    </row>
    <row r="17" spans="1:9" ht="14.5" thickBot="1"/>
    <row r="18" spans="1:9" ht="14.5">
      <c r="A18" s="11"/>
      <c r="B18" s="11" t="s">
        <v>131</v>
      </c>
      <c r="C18" s="11" t="s">
        <v>119</v>
      </c>
      <c r="D18" s="11" t="s">
        <v>132</v>
      </c>
      <c r="E18" s="11" t="s">
        <v>133</v>
      </c>
      <c r="F18" s="11" t="s">
        <v>134</v>
      </c>
      <c r="G18" s="11" t="s">
        <v>135</v>
      </c>
      <c r="H18" s="11" t="s">
        <v>136</v>
      </c>
      <c r="I18" s="11" t="s">
        <v>137</v>
      </c>
    </row>
    <row r="19" spans="1:9">
      <c r="A19" s="9" t="s">
        <v>125</v>
      </c>
      <c r="B19" s="9">
        <v>446410.58293395344</v>
      </c>
      <c r="C19" s="9">
        <v>8407.7382630059928</v>
      </c>
      <c r="D19" s="9">
        <v>53.095204556754318</v>
      </c>
      <c r="E19" s="33">
        <v>4.08626957115072E-160</v>
      </c>
      <c r="F19" s="9">
        <v>429868.76191129786</v>
      </c>
      <c r="G19" s="9">
        <v>462952.40395660902</v>
      </c>
      <c r="H19" s="9">
        <v>429868.76191129786</v>
      </c>
      <c r="I19" s="9">
        <v>462952.40395660902</v>
      </c>
    </row>
    <row r="20" spans="1:9" ht="14.5" thickBot="1">
      <c r="A20" s="10" t="s">
        <v>5</v>
      </c>
      <c r="B20" s="10">
        <v>35.678031072640458</v>
      </c>
      <c r="C20" s="10">
        <v>1.1973782890340821</v>
      </c>
      <c r="D20" s="10">
        <v>29.796791372776362</v>
      </c>
      <c r="E20" s="34">
        <v>4.7503615090054677E-94</v>
      </c>
      <c r="F20" s="10">
        <v>33.322246825554025</v>
      </c>
      <c r="G20" s="10">
        <v>38.033815319726891</v>
      </c>
      <c r="H20" s="10">
        <v>33.322246825554025</v>
      </c>
      <c r="I20" s="10">
        <v>38.033815319726891</v>
      </c>
    </row>
    <row r="23" spans="1:9">
      <c r="A23" s="15" t="s">
        <v>142</v>
      </c>
      <c r="B23" s="15"/>
      <c r="C23" s="15"/>
    </row>
    <row r="25" spans="1:9">
      <c r="A25" s="14" t="s">
        <v>114</v>
      </c>
    </row>
    <row r="26" spans="1:9" ht="14.5" thickBot="1"/>
    <row r="27" spans="1:9" ht="14.5">
      <c r="A27" s="13" t="s">
        <v>115</v>
      </c>
      <c r="B27" s="13"/>
    </row>
    <row r="28" spans="1:9">
      <c r="A28" s="9" t="s">
        <v>116</v>
      </c>
      <c r="B28" s="9">
        <v>0.40895561021322352</v>
      </c>
    </row>
    <row r="29" spans="1:9">
      <c r="A29" s="9" t="s">
        <v>117</v>
      </c>
      <c r="B29" s="9">
        <v>0.16724469112487</v>
      </c>
    </row>
    <row r="30" spans="1:9">
      <c r="A30" s="9" t="s">
        <v>118</v>
      </c>
      <c r="B30" s="9">
        <v>0.16462596373847024</v>
      </c>
    </row>
    <row r="31" spans="1:9">
      <c r="A31" s="9" t="s">
        <v>119</v>
      </c>
      <c r="B31" s="9">
        <v>94846.03383215853</v>
      </c>
    </row>
    <row r="32" spans="1:9" ht="14.5" thickBot="1">
      <c r="A32" s="10" t="s">
        <v>120</v>
      </c>
      <c r="B32" s="10">
        <v>320</v>
      </c>
    </row>
    <row r="34" spans="1:9" ht="14.5" thickBot="1">
      <c r="A34" t="s">
        <v>121</v>
      </c>
    </row>
    <row r="35" spans="1:9" ht="14.5">
      <c r="A35" s="11"/>
      <c r="B35" s="11" t="s">
        <v>126</v>
      </c>
      <c r="C35" s="11" t="s">
        <v>127</v>
      </c>
      <c r="D35" s="11" t="s">
        <v>128</v>
      </c>
      <c r="E35" s="11" t="s">
        <v>129</v>
      </c>
      <c r="F35" s="11" t="s">
        <v>130</v>
      </c>
    </row>
    <row r="36" spans="1:9">
      <c r="A36" s="9" t="s">
        <v>122</v>
      </c>
      <c r="B36" s="9">
        <v>1</v>
      </c>
      <c r="C36" s="9">
        <v>574513714277.01416</v>
      </c>
      <c r="D36" s="9">
        <v>574513714277.01416</v>
      </c>
      <c r="E36" s="9">
        <v>63.864872683367629</v>
      </c>
      <c r="F36" s="9">
        <v>2.4800615101359619E-14</v>
      </c>
    </row>
    <row r="37" spans="1:9">
      <c r="A37" s="9" t="s">
        <v>123</v>
      </c>
      <c r="B37" s="9">
        <v>318</v>
      </c>
      <c r="C37" s="9">
        <v>2860654902513.7251</v>
      </c>
      <c r="D37" s="9">
        <v>8995770133.6909599</v>
      </c>
      <c r="E37" s="9"/>
      <c r="F37" s="9"/>
    </row>
    <row r="38" spans="1:9" ht="14.5" thickBot="1">
      <c r="A38" s="10" t="s">
        <v>124</v>
      </c>
      <c r="B38" s="10">
        <v>319</v>
      </c>
      <c r="C38" s="10">
        <v>3435168616790.7393</v>
      </c>
      <c r="D38" s="10"/>
      <c r="E38" s="10"/>
      <c r="F38" s="10"/>
    </row>
    <row r="39" spans="1:9" ht="14.5" thickBot="1"/>
    <row r="40" spans="1:9" ht="14.5">
      <c r="A40" s="11"/>
      <c r="B40" s="11" t="s">
        <v>131</v>
      </c>
      <c r="C40" s="11" t="s">
        <v>119</v>
      </c>
      <c r="D40" s="11" t="s">
        <v>132</v>
      </c>
      <c r="E40" s="11" t="s">
        <v>133</v>
      </c>
      <c r="F40" s="11" t="s">
        <v>134</v>
      </c>
      <c r="G40" s="11" t="s">
        <v>135</v>
      </c>
      <c r="H40" s="11" t="s">
        <v>136</v>
      </c>
      <c r="I40" s="11" t="s">
        <v>137</v>
      </c>
    </row>
    <row r="41" spans="1:9">
      <c r="A41" s="9" t="s">
        <v>125</v>
      </c>
      <c r="B41" s="9">
        <v>560777.34544943704</v>
      </c>
      <c r="C41" s="9">
        <v>15906.905953068674</v>
      </c>
      <c r="D41" s="9">
        <v>35.253703460870398</v>
      </c>
      <c r="E41" s="35">
        <v>6.952876876284135E-112</v>
      </c>
      <c r="F41" s="9">
        <v>529481.27234763221</v>
      </c>
      <c r="G41" s="9">
        <v>592073.41855124186</v>
      </c>
      <c r="H41" s="9">
        <v>529481.27234763221</v>
      </c>
      <c r="I41" s="9">
        <v>592073.41855124186</v>
      </c>
    </row>
    <row r="42" spans="1:9" ht="14.5" thickBot="1">
      <c r="A42" s="10" t="s">
        <v>4</v>
      </c>
      <c r="B42" s="10">
        <v>2.1295753275898281</v>
      </c>
      <c r="C42" s="10">
        <v>0.26647838106932348</v>
      </c>
      <c r="D42" s="10">
        <v>7.991550080138869</v>
      </c>
      <c r="E42" s="34">
        <v>2.4800615101360068E-14</v>
      </c>
      <c r="F42" s="10">
        <v>1.6052919176921738</v>
      </c>
      <c r="G42" s="10">
        <v>2.6538587374874822</v>
      </c>
      <c r="H42" s="10">
        <v>1.6052919176921738</v>
      </c>
      <c r="I42" s="10">
        <v>2.6538587374874822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7B1F-AA97-477C-90B8-04ECD70A7E5E}">
  <dimension ref="A1:R352"/>
  <sheetViews>
    <sheetView topLeftCell="F1" zoomScaleNormal="100" workbookViewId="0">
      <selection activeCell="M8" sqref="M8"/>
    </sheetView>
  </sheetViews>
  <sheetFormatPr defaultRowHeight="14"/>
  <cols>
    <col min="1" max="1" width="12.9140625" customWidth="1"/>
    <col min="3" max="3" width="11.9140625" customWidth="1"/>
    <col min="4" max="4" width="15.25" customWidth="1"/>
    <col min="5" max="5" width="11.25" customWidth="1"/>
    <col min="6" max="6" width="12.83203125" customWidth="1"/>
    <col min="7" max="7" width="14.58203125" customWidth="1"/>
    <col min="8" max="8" width="12.6640625" customWidth="1"/>
    <col min="10" max="10" width="19.4140625" customWidth="1"/>
    <col min="11" max="11" width="22.58203125" customWidth="1"/>
    <col min="12" max="12" width="16.9140625" customWidth="1"/>
    <col min="13" max="13" width="11.25" customWidth="1"/>
    <col min="14" max="14" width="13.83203125" customWidth="1"/>
    <col min="15" max="15" width="13" customWidth="1"/>
    <col min="16" max="16" width="12.1640625" customWidth="1"/>
    <col min="17" max="17" width="11.1640625" customWidth="1"/>
    <col min="18" max="18" width="12.08203125" customWidth="1"/>
  </cols>
  <sheetData>
    <row r="1" spans="1:15" ht="20.5" customHeight="1">
      <c r="A1" s="17" t="s">
        <v>12</v>
      </c>
      <c r="B1" s="17" t="s">
        <v>5</v>
      </c>
      <c r="C1" s="17" t="s">
        <v>7</v>
      </c>
      <c r="D1" s="17" t="s">
        <v>4</v>
      </c>
      <c r="E1" s="17" t="s">
        <v>10</v>
      </c>
      <c r="F1" s="5" t="s">
        <v>106</v>
      </c>
      <c r="G1" s="5" t="s">
        <v>107</v>
      </c>
      <c r="H1" s="5" t="s">
        <v>108</v>
      </c>
    </row>
    <row r="2" spans="1:15">
      <c r="A2" s="9">
        <f>'Cleaned Data'!M2</f>
        <v>658832.62</v>
      </c>
      <c r="B2" s="9">
        <f>'Cleaned Data'!F2</f>
        <v>8302</v>
      </c>
      <c r="C2">
        <f>'Cleaned Data'!H2</f>
        <v>17</v>
      </c>
      <c r="D2">
        <f>'Cleaned Data'!E2</f>
        <v>70389.11</v>
      </c>
      <c r="E2">
        <f>'Cleaned Data'!K2</f>
        <v>1</v>
      </c>
      <c r="F2">
        <f>'Dummy Variables'!O2</f>
        <v>0</v>
      </c>
      <c r="G2">
        <f>'Dummy Variables'!P2</f>
        <v>0</v>
      </c>
      <c r="H2">
        <f>'Dummy Variables'!Q2</f>
        <v>0</v>
      </c>
    </row>
    <row r="3" spans="1:15">
      <c r="A3" s="9">
        <f>'Cleaned Data'!M3</f>
        <v>634436</v>
      </c>
      <c r="B3" s="9">
        <f>'Cleaned Data'!F3</f>
        <v>8487</v>
      </c>
      <c r="C3">
        <f>'Cleaned Data'!H3</f>
        <v>23</v>
      </c>
      <c r="D3">
        <f>'Cleaned Data'!E3</f>
        <v>43827.89</v>
      </c>
      <c r="E3">
        <f>'Cleaned Data'!K3</f>
        <v>0</v>
      </c>
      <c r="F3">
        <f>'Dummy Variables'!O3</f>
        <v>0</v>
      </c>
      <c r="G3">
        <f>'Dummy Variables'!P3</f>
        <v>0</v>
      </c>
      <c r="H3">
        <f>'Dummy Variables'!Q3</f>
        <v>0</v>
      </c>
      <c r="J3" s="12" t="s">
        <v>114</v>
      </c>
      <c r="K3" s="12"/>
    </row>
    <row r="4" spans="1:15" ht="14.5" thickBot="1">
      <c r="A4" s="9">
        <f>'Cleaned Data'!M4</f>
        <v>678722.06</v>
      </c>
      <c r="B4" s="9">
        <f>'Cleaned Data'!F4</f>
        <v>9113</v>
      </c>
      <c r="C4">
        <f>'Cleaned Data'!H4</f>
        <v>20</v>
      </c>
      <c r="D4">
        <f>'Cleaned Data'!E4</f>
        <v>59921.75</v>
      </c>
      <c r="E4">
        <f>'Cleaned Data'!K4</f>
        <v>0</v>
      </c>
      <c r="F4">
        <f>'Dummy Variables'!O4</f>
        <v>0</v>
      </c>
      <c r="G4">
        <f>'Dummy Variables'!P4</f>
        <v>0</v>
      </c>
      <c r="H4">
        <f>'Dummy Variables'!Q4</f>
        <v>0</v>
      </c>
    </row>
    <row r="5" spans="1:15" ht="14.5">
      <c r="A5" s="9">
        <f>'Cleaned Data'!M5</f>
        <v>658920.30000000005</v>
      </c>
      <c r="B5" s="9">
        <f>'Cleaned Data'!F5</f>
        <v>9431</v>
      </c>
      <c r="C5">
        <f>'Cleaned Data'!H5</f>
        <v>23</v>
      </c>
      <c r="D5">
        <f>'Cleaned Data'!E5</f>
        <v>56856.63</v>
      </c>
      <c r="E5">
        <f>'Cleaned Data'!K5</f>
        <v>0</v>
      </c>
      <c r="F5">
        <f>'Dummy Variables'!O5</f>
        <v>0</v>
      </c>
      <c r="G5">
        <f>'Dummy Variables'!P5</f>
        <v>0</v>
      </c>
      <c r="H5">
        <f>'Dummy Variables'!Q5</f>
        <v>0</v>
      </c>
      <c r="J5" s="13" t="s">
        <v>115</v>
      </c>
      <c r="K5" s="13"/>
    </row>
    <row r="6" spans="1:15">
      <c r="A6" s="9">
        <f>'Cleaned Data'!M6</f>
        <v>741341.44</v>
      </c>
      <c r="B6" s="9">
        <f>'Cleaned Data'!F6</f>
        <v>9545</v>
      </c>
      <c r="C6">
        <f>'Cleaned Data'!H6</f>
        <v>21</v>
      </c>
      <c r="D6">
        <f>'Cleaned Data'!E6</f>
        <v>48412.639999999999</v>
      </c>
      <c r="E6">
        <f>'Cleaned Data'!K6</f>
        <v>1</v>
      </c>
      <c r="F6">
        <f>'Dummy Variables'!O6</f>
        <v>0</v>
      </c>
      <c r="G6">
        <f>'Dummy Variables'!P6</f>
        <v>0</v>
      </c>
      <c r="H6">
        <f>'Dummy Variables'!Q6</f>
        <v>0</v>
      </c>
      <c r="J6" s="9" t="s">
        <v>116</v>
      </c>
      <c r="K6" s="9">
        <v>0.89108379506190427</v>
      </c>
    </row>
    <row r="7" spans="1:15">
      <c r="A7" s="9">
        <f>'Cleaned Data'!M7</f>
        <v>761835.34</v>
      </c>
      <c r="B7" s="9">
        <f>'Cleaned Data'!F7</f>
        <v>9792</v>
      </c>
      <c r="C7">
        <f>'Cleaned Data'!H7</f>
        <v>20</v>
      </c>
      <c r="D7">
        <f>'Cleaned Data'!E7</f>
        <v>64811.21</v>
      </c>
      <c r="E7">
        <f>'Cleaned Data'!K7</f>
        <v>0</v>
      </c>
      <c r="F7">
        <f>'Dummy Variables'!O7</f>
        <v>0</v>
      </c>
      <c r="G7">
        <f>'Dummy Variables'!P7</f>
        <v>0</v>
      </c>
      <c r="H7">
        <f>'Dummy Variables'!Q7</f>
        <v>0</v>
      </c>
      <c r="J7" s="9" t="s">
        <v>117</v>
      </c>
      <c r="K7" s="9">
        <v>0.7940303298219259</v>
      </c>
    </row>
    <row r="8" spans="1:15">
      <c r="A8" s="9">
        <f>'Cleaned Data'!M8</f>
        <v>806615.54</v>
      </c>
      <c r="B8" s="9">
        <f>'Cleaned Data'!F8</f>
        <v>10616</v>
      </c>
      <c r="C8">
        <f>'Cleaned Data'!H8</f>
        <v>22</v>
      </c>
      <c r="D8">
        <f>'Cleaned Data'!E8</f>
        <v>46213.45</v>
      </c>
      <c r="E8">
        <f>'Cleaned Data'!K8</f>
        <v>1</v>
      </c>
      <c r="F8">
        <f>'Dummy Variables'!O8</f>
        <v>0</v>
      </c>
      <c r="G8">
        <f>'Dummy Variables'!P8</f>
        <v>0</v>
      </c>
      <c r="H8">
        <f>'Dummy Variables'!Q8</f>
        <v>0</v>
      </c>
      <c r="J8" s="9" t="s">
        <v>118</v>
      </c>
      <c r="K8" s="9">
        <v>0.78940921542690501</v>
      </c>
    </row>
    <row r="9" spans="1:15">
      <c r="A9" s="9">
        <f>'Cleaned Data'!M9</f>
        <v>850164.26</v>
      </c>
      <c r="B9" s="9">
        <f>'Cleaned Data'!F9</f>
        <v>8567</v>
      </c>
      <c r="C9">
        <f>'Cleaned Data'!H9</f>
        <v>23</v>
      </c>
      <c r="D9">
        <f>'Cleaned Data'!E9</f>
        <v>68148.52</v>
      </c>
      <c r="E9">
        <f>'Cleaned Data'!K9</f>
        <v>0</v>
      </c>
      <c r="F9">
        <f>'Dummy Variables'!O9</f>
        <v>0</v>
      </c>
      <c r="G9">
        <f>'Dummy Variables'!P9</f>
        <v>0</v>
      </c>
      <c r="H9">
        <f>'Dummy Variables'!Q9</f>
        <v>0</v>
      </c>
      <c r="J9" s="9" t="s">
        <v>119</v>
      </c>
      <c r="K9" s="9">
        <v>47620.984486697052</v>
      </c>
    </row>
    <row r="10" spans="1:15" ht="14.5" thickBot="1">
      <c r="A10" s="9">
        <f>'Cleaned Data'!M10</f>
        <v>930581.7</v>
      </c>
      <c r="B10" s="9">
        <f>'Cleaned Data'!F10</f>
        <v>10979</v>
      </c>
      <c r="C10">
        <f>'Cleaned Data'!H10</f>
        <v>26</v>
      </c>
      <c r="D10">
        <f>'Cleaned Data'!E10</f>
        <v>71838.86</v>
      </c>
      <c r="E10">
        <f>'Cleaned Data'!K10</f>
        <v>1</v>
      </c>
      <c r="F10">
        <f>'Dummy Variables'!O10</f>
        <v>1</v>
      </c>
      <c r="G10">
        <f>'Dummy Variables'!P10</f>
        <v>0</v>
      </c>
      <c r="H10">
        <f>'Dummy Variables'!Q10</f>
        <v>0</v>
      </c>
      <c r="J10" s="10" t="s">
        <v>120</v>
      </c>
      <c r="K10" s="10">
        <v>320</v>
      </c>
    </row>
    <row r="11" spans="1:15">
      <c r="A11" s="9">
        <f>'Cleaned Data'!M11</f>
        <v>779010.94</v>
      </c>
      <c r="B11" s="9">
        <f>'Cleaned Data'!F11</f>
        <v>9459</v>
      </c>
      <c r="C11">
        <f>'Cleaned Data'!H11</f>
        <v>21</v>
      </c>
      <c r="D11">
        <f>'Cleaned Data'!E11</f>
        <v>68133.440000000002</v>
      </c>
      <c r="E11">
        <f>'Cleaned Data'!K11</f>
        <v>0</v>
      </c>
      <c r="F11">
        <f>'Dummy Variables'!O11</f>
        <v>1</v>
      </c>
      <c r="G11">
        <f>'Dummy Variables'!P11</f>
        <v>0</v>
      </c>
      <c r="H11">
        <f>'Dummy Variables'!Q11</f>
        <v>0</v>
      </c>
    </row>
    <row r="12" spans="1:15" ht="14.5" thickBot="1">
      <c r="A12" s="9">
        <f>'Cleaned Data'!M12</f>
        <v>723060.76</v>
      </c>
      <c r="B12" s="9">
        <f>'Cleaned Data'!F12</f>
        <v>9172</v>
      </c>
      <c r="C12">
        <f>'Cleaned Data'!H12</f>
        <v>22</v>
      </c>
      <c r="D12">
        <f>'Cleaned Data'!E12</f>
        <v>34285.21</v>
      </c>
      <c r="E12">
        <f>'Cleaned Data'!K12</f>
        <v>1</v>
      </c>
      <c r="F12">
        <f>'Dummy Variables'!O12</f>
        <v>1</v>
      </c>
      <c r="G12">
        <f>'Dummy Variables'!P12</f>
        <v>0</v>
      </c>
      <c r="H12">
        <f>'Dummy Variables'!Q12</f>
        <v>0</v>
      </c>
      <c r="J12" t="s">
        <v>121</v>
      </c>
    </row>
    <row r="13" spans="1:15" ht="14.5">
      <c r="A13" s="9">
        <f>'Cleaned Data'!M13</f>
        <v>910791.94</v>
      </c>
      <c r="B13" s="9">
        <f>'Cleaned Data'!F13</f>
        <v>11230</v>
      </c>
      <c r="C13">
        <f>'Cleaned Data'!H13</f>
        <v>28</v>
      </c>
      <c r="D13">
        <f>'Cleaned Data'!E13</f>
        <v>67979.88</v>
      </c>
      <c r="E13">
        <f>'Cleaned Data'!K13</f>
        <v>0</v>
      </c>
      <c r="F13">
        <f>'Dummy Variables'!O13</f>
        <v>1</v>
      </c>
      <c r="G13">
        <f>'Dummy Variables'!P13</f>
        <v>0</v>
      </c>
      <c r="H13">
        <f>'Dummy Variables'!Q13</f>
        <v>0</v>
      </c>
      <c r="J13" s="11"/>
      <c r="K13" s="11" t="s">
        <v>126</v>
      </c>
      <c r="L13" s="11" t="s">
        <v>127</v>
      </c>
      <c r="M13" s="11" t="s">
        <v>128</v>
      </c>
      <c r="N13" s="11" t="s">
        <v>129</v>
      </c>
      <c r="O13" s="11" t="s">
        <v>130</v>
      </c>
    </row>
    <row r="14" spans="1:15">
      <c r="A14" s="9">
        <f>'Cleaned Data'!M14</f>
        <v>922168.6</v>
      </c>
      <c r="B14" s="9">
        <f>'Cleaned Data'!F14</f>
        <v>12775</v>
      </c>
      <c r="C14">
        <f>'Cleaned Data'!H14</f>
        <v>30</v>
      </c>
      <c r="D14">
        <f>'Cleaned Data'!E14</f>
        <v>71828.259999999995</v>
      </c>
      <c r="E14">
        <f>'Cleaned Data'!K14</f>
        <v>1</v>
      </c>
      <c r="F14">
        <f>'Dummy Variables'!O14</f>
        <v>0</v>
      </c>
      <c r="G14">
        <f>'Dummy Variables'!P14</f>
        <v>0</v>
      </c>
      <c r="H14">
        <f>'Dummy Variables'!Q14</f>
        <v>0</v>
      </c>
      <c r="J14" s="9" t="s">
        <v>122</v>
      </c>
      <c r="K14" s="9">
        <v>7</v>
      </c>
      <c r="L14" s="9">
        <v>2727628069784.2798</v>
      </c>
      <c r="M14" s="9">
        <v>389661152826.32568</v>
      </c>
      <c r="N14" s="9">
        <v>171.8265902868514</v>
      </c>
      <c r="O14" s="9">
        <v>4.7647009559956987E-103</v>
      </c>
    </row>
    <row r="15" spans="1:15">
      <c r="A15" s="9">
        <f>'Cleaned Data'!M15</f>
        <v>726606.28</v>
      </c>
      <c r="B15" s="9">
        <f>'Cleaned Data'!F15</f>
        <v>10054</v>
      </c>
      <c r="C15">
        <f>'Cleaned Data'!H15</f>
        <v>24</v>
      </c>
      <c r="D15">
        <f>'Cleaned Data'!E15</f>
        <v>55716.82</v>
      </c>
      <c r="E15">
        <f>'Cleaned Data'!K15</f>
        <v>0</v>
      </c>
      <c r="F15">
        <f>'Dummy Variables'!O15</f>
        <v>0</v>
      </c>
      <c r="G15">
        <f>'Dummy Variables'!P15</f>
        <v>0</v>
      </c>
      <c r="H15">
        <f>'Dummy Variables'!Q15</f>
        <v>0</v>
      </c>
      <c r="J15" s="9" t="s">
        <v>123</v>
      </c>
      <c r="K15" s="9">
        <v>312</v>
      </c>
      <c r="L15" s="9">
        <v>707540547006.45935</v>
      </c>
      <c r="M15" s="9">
        <v>2267758163.4822416</v>
      </c>
      <c r="N15" s="9"/>
      <c r="O15" s="9"/>
    </row>
    <row r="16" spans="1:15" ht="14.5" thickBot="1">
      <c r="A16" s="9">
        <f>'Cleaned Data'!M16</f>
        <v>746501.09</v>
      </c>
      <c r="B16" s="9">
        <f>'Cleaned Data'!F16</f>
        <v>8895</v>
      </c>
      <c r="C16">
        <f>'Cleaned Data'!H16</f>
        <v>23</v>
      </c>
      <c r="D16">
        <f>'Cleaned Data'!E16</f>
        <v>59909.51</v>
      </c>
      <c r="E16">
        <f>'Cleaned Data'!K16</f>
        <v>0</v>
      </c>
      <c r="F16">
        <f>'Dummy Variables'!O16</f>
        <v>0</v>
      </c>
      <c r="G16">
        <f>'Dummy Variables'!P16</f>
        <v>0</v>
      </c>
      <c r="H16">
        <f>'Dummy Variables'!Q16</f>
        <v>0</v>
      </c>
      <c r="J16" s="10" t="s">
        <v>124</v>
      </c>
      <c r="K16" s="10">
        <v>319</v>
      </c>
      <c r="L16" s="10">
        <v>3435168616790.7393</v>
      </c>
      <c r="M16" s="10"/>
      <c r="N16" s="10"/>
      <c r="O16" s="10"/>
    </row>
    <row r="17" spans="1:18" ht="14.5" thickBot="1">
      <c r="A17" s="9">
        <f>'Cleaned Data'!M17</f>
        <v>834017.02</v>
      </c>
      <c r="B17" s="9">
        <f>'Cleaned Data'!F17</f>
        <v>10940</v>
      </c>
      <c r="C17">
        <f>'Cleaned Data'!H17</f>
        <v>26</v>
      </c>
      <c r="D17">
        <f>'Cleaned Data'!E17</f>
        <v>75305.710000000006</v>
      </c>
      <c r="E17">
        <f>'Cleaned Data'!K17</f>
        <v>0</v>
      </c>
      <c r="F17">
        <f>'Dummy Variables'!O17</f>
        <v>0</v>
      </c>
      <c r="G17">
        <f>'Dummy Variables'!P17</f>
        <v>0</v>
      </c>
      <c r="H17">
        <f>'Dummy Variables'!Q17</f>
        <v>0</v>
      </c>
    </row>
    <row r="18" spans="1:18" ht="14.5">
      <c r="A18" s="9">
        <f>'Cleaned Data'!M18</f>
        <v>666152.52</v>
      </c>
      <c r="B18" s="9">
        <f>'Cleaned Data'!F18</f>
        <v>7057</v>
      </c>
      <c r="C18">
        <f>'Cleaned Data'!H18</f>
        <v>15</v>
      </c>
      <c r="D18">
        <f>'Cleaned Data'!E18</f>
        <v>48804.22</v>
      </c>
      <c r="E18">
        <f>'Cleaned Data'!K18</f>
        <v>0</v>
      </c>
      <c r="F18">
        <f>'Dummy Variables'!O18</f>
        <v>0</v>
      </c>
      <c r="G18">
        <f>'Dummy Variables'!P18</f>
        <v>1</v>
      </c>
      <c r="H18">
        <f>'Dummy Variables'!Q18</f>
        <v>0</v>
      </c>
      <c r="J18" s="11"/>
      <c r="K18" s="11" t="s">
        <v>131</v>
      </c>
      <c r="L18" s="11" t="s">
        <v>119</v>
      </c>
      <c r="M18" s="11" t="s">
        <v>132</v>
      </c>
      <c r="N18" s="11" t="s">
        <v>133</v>
      </c>
      <c r="O18" s="11" t="s">
        <v>134</v>
      </c>
      <c r="P18" s="11" t="s">
        <v>135</v>
      </c>
      <c r="Q18" s="11" t="s">
        <v>136</v>
      </c>
      <c r="R18" s="11" t="s">
        <v>137</v>
      </c>
    </row>
    <row r="19" spans="1:18">
      <c r="A19" s="9">
        <f>'Cleaned Data'!M19</f>
        <v>573155.18999999994</v>
      </c>
      <c r="B19" s="9">
        <f>'Cleaned Data'!F19</f>
        <v>4263</v>
      </c>
      <c r="C19">
        <f>'Cleaned Data'!H19</f>
        <v>9</v>
      </c>
      <c r="D19">
        <f>'Cleaned Data'!E19</f>
        <v>59117.9</v>
      </c>
      <c r="E19">
        <f>'Cleaned Data'!K19</f>
        <v>0</v>
      </c>
      <c r="F19">
        <f>'Dummy Variables'!O19</f>
        <v>0</v>
      </c>
      <c r="G19">
        <f>'Dummy Variables'!P19</f>
        <v>1</v>
      </c>
      <c r="H19">
        <f>'Dummy Variables'!Q19</f>
        <v>0</v>
      </c>
      <c r="J19" s="9" t="s">
        <v>125</v>
      </c>
      <c r="K19" s="9">
        <v>370748.27682863246</v>
      </c>
      <c r="L19" s="9">
        <v>12219.943316680252</v>
      </c>
      <c r="M19" s="9">
        <v>30.339606921298905</v>
      </c>
      <c r="N19" s="9">
        <v>4.3978335624111146E-95</v>
      </c>
      <c r="O19" s="9">
        <v>346704.35916045535</v>
      </c>
      <c r="P19" s="9">
        <v>394792.19449680956</v>
      </c>
      <c r="Q19" s="9">
        <v>346704.35916045535</v>
      </c>
      <c r="R19" s="9">
        <v>394792.19449680956</v>
      </c>
    </row>
    <row r="20" spans="1:18">
      <c r="A20" s="9">
        <f>'Cleaned Data'!M20</f>
        <v>666573.19999999995</v>
      </c>
      <c r="B20" s="9">
        <f>'Cleaned Data'!F20</f>
        <v>5538</v>
      </c>
      <c r="C20">
        <f>'Cleaned Data'!H20</f>
        <v>15</v>
      </c>
      <c r="D20">
        <f>'Cleaned Data'!E20</f>
        <v>78831.12</v>
      </c>
      <c r="E20">
        <f>'Cleaned Data'!K20</f>
        <v>0</v>
      </c>
      <c r="F20">
        <f>'Dummy Variables'!O20</f>
        <v>0</v>
      </c>
      <c r="G20">
        <f>'Dummy Variables'!P20</f>
        <v>1</v>
      </c>
      <c r="H20">
        <f>'Dummy Variables'!Q20</f>
        <v>0</v>
      </c>
      <c r="J20" s="9" t="s">
        <v>5</v>
      </c>
      <c r="K20" s="9">
        <v>29.298876127922178</v>
      </c>
      <c r="L20" s="9">
        <v>2.7271314645993363</v>
      </c>
      <c r="M20" s="9">
        <v>10.743477719445659</v>
      </c>
      <c r="N20" s="35">
        <v>4.069409595382999E-23</v>
      </c>
      <c r="O20" s="9">
        <v>23.932981810260554</v>
      </c>
      <c r="P20" s="9">
        <v>34.664770445583798</v>
      </c>
      <c r="Q20" s="9">
        <v>23.932981810260554</v>
      </c>
      <c r="R20" s="9">
        <v>34.664770445583798</v>
      </c>
    </row>
    <row r="21" spans="1:18">
      <c r="A21" s="9">
        <f>'Cleaned Data'!M21</f>
        <v>591619.94999999995</v>
      </c>
      <c r="B21" s="9">
        <f>'Cleaned Data'!F21</f>
        <v>4865</v>
      </c>
      <c r="C21">
        <f>'Cleaned Data'!H21</f>
        <v>16</v>
      </c>
      <c r="D21">
        <f>'Cleaned Data'!E21</f>
        <v>41441.93</v>
      </c>
      <c r="E21">
        <f>'Cleaned Data'!K21</f>
        <v>0</v>
      </c>
      <c r="F21">
        <f>'Dummy Variables'!O21</f>
        <v>0</v>
      </c>
      <c r="G21">
        <f>'Dummy Variables'!P21</f>
        <v>1</v>
      </c>
      <c r="H21">
        <f>'Dummy Variables'!Q21</f>
        <v>0</v>
      </c>
      <c r="J21" s="9" t="s">
        <v>7</v>
      </c>
      <c r="K21" s="9">
        <v>2309.8747268685556</v>
      </c>
      <c r="L21" s="9">
        <v>1370.104518715448</v>
      </c>
      <c r="M21" s="9">
        <v>1.6859113267024304</v>
      </c>
      <c r="N21" s="9">
        <v>9.2812599868798668E-2</v>
      </c>
      <c r="O21" s="9">
        <v>-385.93812521111158</v>
      </c>
      <c r="P21" s="9">
        <v>5005.6875789482228</v>
      </c>
      <c r="Q21" s="9">
        <v>-385.93812521111158</v>
      </c>
      <c r="R21" s="9">
        <v>5005.6875789482228</v>
      </c>
    </row>
    <row r="22" spans="1:18">
      <c r="A22" s="9">
        <f>'Cleaned Data'!M22</f>
        <v>415721.82</v>
      </c>
      <c r="B22" s="9">
        <f>'Cleaned Data'!F22</f>
        <v>2822</v>
      </c>
      <c r="C22">
        <f>'Cleaned Data'!H22</f>
        <v>9</v>
      </c>
      <c r="D22">
        <f>'Cleaned Data'!E22</f>
        <v>30356.28</v>
      </c>
      <c r="E22">
        <f>'Cleaned Data'!K22</f>
        <v>0</v>
      </c>
      <c r="F22">
        <f>'Dummy Variables'!O22</f>
        <v>1</v>
      </c>
      <c r="G22">
        <f>'Dummy Variables'!P22</f>
        <v>0</v>
      </c>
      <c r="H22">
        <f>'Dummy Variables'!Q22</f>
        <v>0</v>
      </c>
      <c r="J22" s="9" t="s">
        <v>4</v>
      </c>
      <c r="K22" s="9">
        <v>1.1368619655930829</v>
      </c>
      <c r="L22" s="9">
        <v>0.13802244684793386</v>
      </c>
      <c r="M22" s="9">
        <v>8.2367904029814802</v>
      </c>
      <c r="N22" s="9">
        <v>4.9201928673525405E-15</v>
      </c>
      <c r="O22" s="9">
        <v>0.86528948261419902</v>
      </c>
      <c r="P22" s="9">
        <v>1.4084344485719669</v>
      </c>
      <c r="Q22" s="9">
        <v>0.86528948261419902</v>
      </c>
      <c r="R22" s="9">
        <v>1.4084344485719669</v>
      </c>
    </row>
    <row r="23" spans="1:18">
      <c r="A23" s="9">
        <f>'Cleaned Data'!M23</f>
        <v>491905.13</v>
      </c>
      <c r="B23" s="9">
        <f>'Cleaned Data'!F23</f>
        <v>2121</v>
      </c>
      <c r="C23">
        <f>'Cleaned Data'!H23</f>
        <v>8</v>
      </c>
      <c r="D23">
        <f>'Cleaned Data'!E23</f>
        <v>33518.879999999997</v>
      </c>
      <c r="E23">
        <f>'Cleaned Data'!K23</f>
        <v>0</v>
      </c>
      <c r="F23">
        <f>'Dummy Variables'!O23</f>
        <v>1</v>
      </c>
      <c r="G23">
        <f>'Dummy Variables'!P23</f>
        <v>0</v>
      </c>
      <c r="H23">
        <f>'Dummy Variables'!Q23</f>
        <v>0</v>
      </c>
      <c r="J23" s="9" t="s">
        <v>10</v>
      </c>
      <c r="K23" s="9">
        <v>12258.285652580807</v>
      </c>
      <c r="L23" s="9">
        <v>7221.9250492228721</v>
      </c>
      <c r="M23" s="9">
        <v>1.697370932131161</v>
      </c>
      <c r="N23" s="9">
        <v>9.0623746715174675E-2</v>
      </c>
      <c r="O23" s="9">
        <v>-1951.5487786670892</v>
      </c>
      <c r="P23" s="9">
        <v>26468.120083828704</v>
      </c>
      <c r="Q23" s="9">
        <v>-1951.5487786670892</v>
      </c>
      <c r="R23" s="9">
        <v>26468.120083828704</v>
      </c>
    </row>
    <row r="24" spans="1:18">
      <c r="A24" s="9">
        <f>'Cleaned Data'!M24</f>
        <v>555929.4</v>
      </c>
      <c r="B24" s="9">
        <f>'Cleaned Data'!F24</f>
        <v>3364</v>
      </c>
      <c r="C24">
        <f>'Cleaned Data'!H24</f>
        <v>13</v>
      </c>
      <c r="D24">
        <f>'Cleaned Data'!E24</f>
        <v>42267.37</v>
      </c>
      <c r="E24">
        <f>'Cleaned Data'!K24</f>
        <v>1</v>
      </c>
      <c r="F24">
        <f>'Dummy Variables'!O24</f>
        <v>1</v>
      </c>
      <c r="G24">
        <f>'Dummy Variables'!P24</f>
        <v>0</v>
      </c>
      <c r="H24">
        <f>'Dummy Variables'!Q24</f>
        <v>0</v>
      </c>
      <c r="J24" s="9" t="s">
        <v>106</v>
      </c>
      <c r="K24" s="9">
        <v>12867.025207023124</v>
      </c>
      <c r="L24" s="9">
        <v>7611.4486939133712</v>
      </c>
      <c r="M24" s="9">
        <v>1.6904830768040868</v>
      </c>
      <c r="N24" s="9">
        <v>9.1934308896597122E-2</v>
      </c>
      <c r="O24" s="9">
        <v>-2109.2345831675175</v>
      </c>
      <c r="P24" s="9">
        <v>27843.284997213763</v>
      </c>
      <c r="Q24" s="9">
        <v>-2109.2345831675175</v>
      </c>
      <c r="R24" s="9">
        <v>27843.284997213763</v>
      </c>
    </row>
    <row r="25" spans="1:18">
      <c r="A25" s="9">
        <f>'Cleaned Data'!M25</f>
        <v>565810.99</v>
      </c>
      <c r="B25" s="9">
        <f>'Cleaned Data'!F25</f>
        <v>2613</v>
      </c>
      <c r="C25">
        <f>'Cleaned Data'!H25</f>
        <v>12</v>
      </c>
      <c r="D25">
        <f>'Cleaned Data'!E25</f>
        <v>62060.43</v>
      </c>
      <c r="E25">
        <f>'Cleaned Data'!K25</f>
        <v>0</v>
      </c>
      <c r="F25">
        <f>'Dummy Variables'!O25</f>
        <v>1</v>
      </c>
      <c r="G25">
        <f>'Dummy Variables'!P25</f>
        <v>0</v>
      </c>
      <c r="H25">
        <f>'Dummy Variables'!Q25</f>
        <v>0</v>
      </c>
      <c r="J25" s="9" t="s">
        <v>107</v>
      </c>
      <c r="K25" s="9">
        <v>24466.780547939161</v>
      </c>
      <c r="L25" s="9">
        <v>7735.4367081823739</v>
      </c>
      <c r="M25" s="9">
        <v>3.1629475452961486</v>
      </c>
      <c r="N25" s="9">
        <v>1.7155151081377164E-3</v>
      </c>
      <c r="O25" s="9">
        <v>9246.5623751547664</v>
      </c>
      <c r="P25" s="9">
        <v>39686.998720723554</v>
      </c>
      <c r="Q25" s="9">
        <v>9246.5623751547664</v>
      </c>
      <c r="R25" s="9">
        <v>39686.998720723554</v>
      </c>
    </row>
    <row r="26" spans="1:18" ht="14.5" thickBot="1">
      <c r="A26" s="9">
        <f>'Cleaned Data'!M26</f>
        <v>811771.14</v>
      </c>
      <c r="B26" s="9">
        <f>'Cleaned Data'!F26</f>
        <v>10218</v>
      </c>
      <c r="C26">
        <f>'Cleaned Data'!H26</f>
        <v>25</v>
      </c>
      <c r="D26">
        <f>'Cleaned Data'!E26</f>
        <v>57696.69</v>
      </c>
      <c r="E26">
        <f>'Cleaned Data'!K26</f>
        <v>0</v>
      </c>
      <c r="F26">
        <f>'Dummy Variables'!O26</f>
        <v>0</v>
      </c>
      <c r="G26">
        <f>'Dummy Variables'!P26</f>
        <v>0</v>
      </c>
      <c r="H26">
        <f>'Dummy Variables'!Q26</f>
        <v>1</v>
      </c>
      <c r="J26" s="10" t="s">
        <v>108</v>
      </c>
      <c r="K26" s="10">
        <v>21561.447441102802</v>
      </c>
      <c r="L26" s="10">
        <v>6871.4233149648626</v>
      </c>
      <c r="M26" s="10">
        <v>3.1378429843123494</v>
      </c>
      <c r="N26" s="10">
        <v>1.864460154198766E-3</v>
      </c>
      <c r="O26" s="10">
        <v>8041.2589945093023</v>
      </c>
      <c r="P26" s="10">
        <v>35081.635887696306</v>
      </c>
      <c r="Q26" s="10">
        <v>8041.2589945093023</v>
      </c>
      <c r="R26" s="10">
        <v>35081.635887696306</v>
      </c>
    </row>
    <row r="27" spans="1:18">
      <c r="A27" s="9">
        <f>'Cleaned Data'!M27</f>
        <v>800451.94</v>
      </c>
      <c r="B27" s="9">
        <f>'Cleaned Data'!F27</f>
        <v>8927</v>
      </c>
      <c r="C27">
        <f>'Cleaned Data'!H27</f>
        <v>22</v>
      </c>
      <c r="D27">
        <f>'Cleaned Data'!E27</f>
        <v>172415.52</v>
      </c>
      <c r="E27">
        <f>'Cleaned Data'!K27</f>
        <v>0</v>
      </c>
      <c r="F27">
        <f>'Dummy Variables'!O27</f>
        <v>0</v>
      </c>
      <c r="G27">
        <f>'Dummy Variables'!P27</f>
        <v>0</v>
      </c>
      <c r="H27">
        <f>'Dummy Variables'!Q27</f>
        <v>1</v>
      </c>
    </row>
    <row r="28" spans="1:18">
      <c r="A28" s="9">
        <f>'Cleaned Data'!M28</f>
        <v>783672.82</v>
      </c>
      <c r="B28" s="9">
        <f>'Cleaned Data'!F28</f>
        <v>9315</v>
      </c>
      <c r="C28">
        <f>'Cleaned Data'!H28</f>
        <v>23</v>
      </c>
      <c r="D28">
        <f>'Cleaned Data'!E28</f>
        <v>55270.52</v>
      </c>
      <c r="E28">
        <f>'Cleaned Data'!K28</f>
        <v>0</v>
      </c>
      <c r="F28">
        <f>'Dummy Variables'!O28</f>
        <v>0</v>
      </c>
      <c r="G28">
        <f>'Dummy Variables'!P28</f>
        <v>0</v>
      </c>
      <c r="H28">
        <f>'Dummy Variables'!Q28</f>
        <v>1</v>
      </c>
    </row>
    <row r="29" spans="1:18">
      <c r="A29" s="9">
        <f>'Cleaned Data'!M29</f>
        <v>701641.97</v>
      </c>
      <c r="B29" s="9">
        <f>'Cleaned Data'!F29</f>
        <v>7223</v>
      </c>
      <c r="C29">
        <f>'Cleaned Data'!H29</f>
        <v>16</v>
      </c>
      <c r="D29">
        <f>'Cleaned Data'!E29</f>
        <v>52715.1</v>
      </c>
      <c r="E29">
        <f>'Cleaned Data'!K29</f>
        <v>0</v>
      </c>
      <c r="F29">
        <f>'Dummy Variables'!O29</f>
        <v>0</v>
      </c>
      <c r="G29">
        <f>'Dummy Variables'!P29</f>
        <v>0</v>
      </c>
      <c r="H29">
        <f>'Dummy Variables'!Q29</f>
        <v>1</v>
      </c>
    </row>
    <row r="30" spans="1:18">
      <c r="A30" s="9">
        <f>'Cleaned Data'!M30</f>
        <v>511844.41</v>
      </c>
      <c r="B30" s="9">
        <f>'Cleaned Data'!F30</f>
        <v>3988</v>
      </c>
      <c r="C30">
        <f>'Cleaned Data'!H30</f>
        <v>11</v>
      </c>
      <c r="D30">
        <f>'Cleaned Data'!E30</f>
        <v>68600.62</v>
      </c>
      <c r="E30">
        <f>'Cleaned Data'!K30</f>
        <v>0</v>
      </c>
      <c r="F30">
        <f>'Dummy Variables'!O30</f>
        <v>0</v>
      </c>
      <c r="G30">
        <f>'Dummy Variables'!P30</f>
        <v>0</v>
      </c>
      <c r="H30">
        <f>'Dummy Variables'!Q30</f>
        <v>0</v>
      </c>
      <c r="J30" s="12" t="s">
        <v>138</v>
      </c>
    </row>
    <row r="31" spans="1:18" ht="14.5" thickBot="1">
      <c r="A31" s="9">
        <f>'Cleaned Data'!M31</f>
        <v>537383.79</v>
      </c>
      <c r="B31" s="9">
        <f>'Cleaned Data'!F31</f>
        <v>2390</v>
      </c>
      <c r="C31">
        <f>'Cleaned Data'!H31</f>
        <v>9</v>
      </c>
      <c r="D31">
        <f>'Cleaned Data'!E31</f>
        <v>63176.73</v>
      </c>
      <c r="E31">
        <f>'Cleaned Data'!K31</f>
        <v>0</v>
      </c>
      <c r="F31">
        <f>'Dummy Variables'!O31</f>
        <v>0</v>
      </c>
      <c r="G31">
        <f>'Dummy Variables'!P31</f>
        <v>0</v>
      </c>
      <c r="H31">
        <f>'Dummy Variables'!Q31</f>
        <v>0</v>
      </c>
    </row>
    <row r="32" spans="1:18" ht="14.5">
      <c r="A32" s="9">
        <f>'Cleaned Data'!M32</f>
        <v>500173.02</v>
      </c>
      <c r="B32" s="9">
        <f>'Cleaned Data'!F32</f>
        <v>2471</v>
      </c>
      <c r="C32">
        <f>'Cleaned Data'!H32</f>
        <v>11</v>
      </c>
      <c r="D32">
        <f>'Cleaned Data'!E32</f>
        <v>44970.080000000002</v>
      </c>
      <c r="E32">
        <f>'Cleaned Data'!K32</f>
        <v>1</v>
      </c>
      <c r="F32">
        <f>'Dummy Variables'!O32</f>
        <v>0</v>
      </c>
      <c r="G32">
        <f>'Dummy Variables'!P32</f>
        <v>0</v>
      </c>
      <c r="H32">
        <f>'Dummy Variables'!Q32</f>
        <v>0</v>
      </c>
      <c r="J32" s="24" t="s">
        <v>139</v>
      </c>
      <c r="K32" s="24" t="s">
        <v>143</v>
      </c>
      <c r="L32" s="24" t="s">
        <v>140</v>
      </c>
    </row>
    <row r="33" spans="1:12">
      <c r="A33" s="9">
        <f>'Cleaned Data'!M33</f>
        <v>427917.38</v>
      </c>
      <c r="B33" s="9">
        <f>'Cleaned Data'!F33</f>
        <v>971</v>
      </c>
      <c r="C33">
        <f>'Cleaned Data'!H33</f>
        <v>5</v>
      </c>
      <c r="D33">
        <f>'Cleaned Data'!E33</f>
        <v>69816.350000000006</v>
      </c>
      <c r="E33">
        <f>'Cleaned Data'!K33</f>
        <v>0</v>
      </c>
      <c r="F33">
        <f>'Dummy Variables'!O33</f>
        <v>0</v>
      </c>
      <c r="G33">
        <f>'Dummy Variables'!P33</f>
        <v>0</v>
      </c>
      <c r="H33">
        <f>'Dummy Variables'!Q33</f>
        <v>0</v>
      </c>
      <c r="J33" s="9">
        <v>1</v>
      </c>
      <c r="K33" s="9">
        <v>745536.40440293634</v>
      </c>
      <c r="L33" s="9">
        <v>-86703.784402936348</v>
      </c>
    </row>
    <row r="34" spans="1:12">
      <c r="A34" s="9">
        <f>'Cleaned Data'!M34</f>
        <v>641865.03</v>
      </c>
      <c r="B34" s="9">
        <f>'Cleaned Data'!F34</f>
        <v>9429</v>
      </c>
      <c r="C34">
        <f>'Cleaned Data'!H34</f>
        <v>21</v>
      </c>
      <c r="D34">
        <f>'Cleaned Data'!E34</f>
        <v>54597.83</v>
      </c>
      <c r="E34">
        <f>'Cleaned Data'!K34</f>
        <v>0</v>
      </c>
      <c r="F34">
        <f>'Dummy Variables'!O34</f>
        <v>1</v>
      </c>
      <c r="G34">
        <f>'Dummy Variables'!P34</f>
        <v>0</v>
      </c>
      <c r="H34">
        <f>'Dummy Variables'!Q34</f>
        <v>0</v>
      </c>
      <c r="J34" s="9">
        <v>2</v>
      </c>
      <c r="K34" s="9">
        <v>722361.2184174821</v>
      </c>
      <c r="L34" s="9">
        <v>-87925.218417482101</v>
      </c>
    </row>
    <row r="35" spans="1:12">
      <c r="A35" s="9">
        <f>'Cleaned Data'!M35</f>
        <v>799477.76000000001</v>
      </c>
      <c r="B35" s="9">
        <f>'Cleaned Data'!F35</f>
        <v>11695</v>
      </c>
      <c r="C35">
        <f>'Cleaned Data'!H35</f>
        <v>25</v>
      </c>
      <c r="D35">
        <f>'Cleaned Data'!E35</f>
        <v>73771.91</v>
      </c>
      <c r="E35">
        <f>'Cleaned Data'!K35</f>
        <v>0</v>
      </c>
      <c r="F35">
        <f>'Dummy Variables'!O35</f>
        <v>1</v>
      </c>
      <c r="G35">
        <f>'Dummy Variables'!P35</f>
        <v>0</v>
      </c>
      <c r="H35">
        <f>'Dummy Variables'!Q35</f>
        <v>0</v>
      </c>
      <c r="J35" s="9">
        <v>3</v>
      </c>
      <c r="K35" s="9">
        <v>752069.18800653575</v>
      </c>
      <c r="L35" s="9">
        <v>-73347.128006535699</v>
      </c>
    </row>
    <row r="36" spans="1:12">
      <c r="A36" s="9">
        <f>'Cleaned Data'!M36</f>
        <v>798952.17</v>
      </c>
      <c r="B36" s="9">
        <f>'Cleaned Data'!F36</f>
        <v>9449</v>
      </c>
      <c r="C36">
        <f>'Cleaned Data'!H36</f>
        <v>23</v>
      </c>
      <c r="D36">
        <f>'Cleaned Data'!E36</f>
        <v>74413.88</v>
      </c>
      <c r="E36">
        <f>'Cleaned Data'!K36</f>
        <v>0</v>
      </c>
      <c r="F36">
        <f>'Dummy Variables'!O36</f>
        <v>1</v>
      </c>
      <c r="G36">
        <f>'Dummy Variables'!P36</f>
        <v>0</v>
      </c>
      <c r="H36">
        <f>'Dummy Variables'!Q36</f>
        <v>0</v>
      </c>
      <c r="J36" s="9">
        <v>4</v>
      </c>
      <c r="K36" s="9">
        <v>764831.23644784186</v>
      </c>
      <c r="L36" s="9">
        <v>-105910.93644784181</v>
      </c>
    </row>
    <row r="37" spans="1:12">
      <c r="A37" s="9">
        <f>'Cleaned Data'!M37</f>
        <v>800979.78</v>
      </c>
      <c r="B37" s="9">
        <f>'Cleaned Data'!F37</f>
        <v>10453</v>
      </c>
      <c r="C37">
        <f>'Cleaned Data'!H37</f>
        <v>25</v>
      </c>
      <c r="D37">
        <f>'Cleaned Data'!E37</f>
        <v>52483.77</v>
      </c>
      <c r="E37">
        <f>'Cleaned Data'!K37</f>
        <v>0</v>
      </c>
      <c r="F37">
        <f>'Dummy Variables'!O37</f>
        <v>1</v>
      </c>
      <c r="G37">
        <f>'Dummy Variables'!P37</f>
        <v>0</v>
      </c>
      <c r="H37">
        <f>'Dummy Variables'!Q37</f>
        <v>0</v>
      </c>
      <c r="J37" s="9">
        <v>5</v>
      </c>
      <c r="K37" s="9">
        <v>766210.19345642033</v>
      </c>
      <c r="L37" s="9">
        <v>-24868.753456420382</v>
      </c>
    </row>
    <row r="38" spans="1:12">
      <c r="A38" s="9">
        <f>'Cleaned Data'!M38</f>
        <v>820593.93</v>
      </c>
      <c r="B38" s="9">
        <f>'Cleaned Data'!F38</f>
        <v>8838</v>
      </c>
      <c r="C38">
        <f>'Cleaned Data'!H38</f>
        <v>21</v>
      </c>
      <c r="D38">
        <f>'Cleaned Data'!E38</f>
        <v>75269.87</v>
      </c>
      <c r="E38">
        <f>'Cleaned Data'!K38</f>
        <v>1</v>
      </c>
      <c r="F38">
        <f>'Dummy Variables'!O38</f>
        <v>1</v>
      </c>
      <c r="G38">
        <f>'Dummy Variables'!P38</f>
        <v>0</v>
      </c>
      <c r="H38">
        <f>'Dummy Variables'!Q38</f>
        <v>0</v>
      </c>
      <c r="J38" s="9">
        <v>6</v>
      </c>
      <c r="K38" s="9">
        <v>777521.76600368368</v>
      </c>
      <c r="L38" s="9">
        <v>-15686.426003683708</v>
      </c>
    </row>
    <row r="39" spans="1:12">
      <c r="A39" s="9">
        <f>'Cleaned Data'!M39</f>
        <v>718330.53</v>
      </c>
      <c r="B39" s="9">
        <f>'Cleaned Data'!F39</f>
        <v>8156</v>
      </c>
      <c r="C39">
        <f>'Cleaned Data'!H39</f>
        <v>19</v>
      </c>
      <c r="D39">
        <f>'Cleaned Data'!E39</f>
        <v>61245.41</v>
      </c>
      <c r="E39">
        <f>'Cleaned Data'!K39</f>
        <v>0</v>
      </c>
      <c r="F39">
        <f>'Dummy Variables'!O39</f>
        <v>1</v>
      </c>
      <c r="G39">
        <f>'Dummy Variables'!P39</f>
        <v>0</v>
      </c>
      <c r="H39">
        <f>'Dummy Variables'!Q39</f>
        <v>0</v>
      </c>
      <c r="J39" s="9">
        <v>7</v>
      </c>
      <c r="K39" s="9">
        <v>797398.989050181</v>
      </c>
      <c r="L39" s="9">
        <v>9216.5509498190368</v>
      </c>
    </row>
    <row r="40" spans="1:12">
      <c r="A40" s="9">
        <f>'Cleaned Data'!M40</f>
        <v>736633.4</v>
      </c>
      <c r="B40" s="9">
        <f>'Cleaned Data'!F40</f>
        <v>7562</v>
      </c>
      <c r="C40">
        <f>'Cleaned Data'!H40</f>
        <v>19</v>
      </c>
      <c r="D40">
        <f>'Cleaned Data'!E40</f>
        <v>93381.26</v>
      </c>
      <c r="E40">
        <f>'Cleaned Data'!K40</f>
        <v>0</v>
      </c>
      <c r="F40">
        <f>'Dummy Variables'!O40</f>
        <v>1</v>
      </c>
      <c r="G40">
        <f>'Dummy Variables'!P40</f>
        <v>0</v>
      </c>
      <c r="H40">
        <f>'Dummy Variables'!Q40</f>
        <v>0</v>
      </c>
      <c r="J40" s="9">
        <v>8</v>
      </c>
      <c r="K40" s="9">
        <v>752354.32773397793</v>
      </c>
      <c r="L40" s="9">
        <v>97809.932266022079</v>
      </c>
    </row>
    <row r="41" spans="1:12">
      <c r="A41" s="9">
        <f>'Cleaned Data'!M41</f>
        <v>828623.85</v>
      </c>
      <c r="B41" s="9">
        <f>'Cleaned Data'!F41</f>
        <v>9598</v>
      </c>
      <c r="C41">
        <f>'Cleaned Data'!H41</f>
        <v>24</v>
      </c>
      <c r="D41">
        <f>'Cleaned Data'!E41</f>
        <v>65012.19</v>
      </c>
      <c r="E41">
        <f>'Cleaned Data'!K41</f>
        <v>0</v>
      </c>
      <c r="F41">
        <f>'Dummy Variables'!O41</f>
        <v>1</v>
      </c>
      <c r="G41">
        <f>'Dummy Variables'!P41</f>
        <v>0</v>
      </c>
      <c r="H41">
        <f>'Dummy Variables'!Q41</f>
        <v>0</v>
      </c>
      <c r="J41" s="9">
        <v>9</v>
      </c>
      <c r="K41" s="9">
        <v>859273.55918084283</v>
      </c>
      <c r="L41" s="9">
        <v>71308.140819157124</v>
      </c>
    </row>
    <row r="42" spans="1:12">
      <c r="A42" s="9">
        <f>'Cleaned Data'!M42</f>
        <v>592195.85</v>
      </c>
      <c r="B42" s="9">
        <f>'Cleaned Data'!F42</f>
        <v>3660</v>
      </c>
      <c r="C42">
        <f>'Cleaned Data'!H42</f>
        <v>11</v>
      </c>
      <c r="D42">
        <f>'Cleaned Data'!E42</f>
        <v>40462.94</v>
      </c>
      <c r="E42">
        <f>'Cleaned Data'!K42</f>
        <v>0</v>
      </c>
      <c r="F42">
        <f>'Dummy Variables'!O42</f>
        <v>0</v>
      </c>
      <c r="G42">
        <f>'Dummy Variables'!P42</f>
        <v>0</v>
      </c>
      <c r="H42">
        <f>'Dummy Variables'!Q42</f>
        <v>0</v>
      </c>
      <c r="J42" s="9">
        <v>10</v>
      </c>
      <c r="K42" s="9">
        <v>786719.05711492954</v>
      </c>
      <c r="L42" s="9">
        <v>-7708.1171149295988</v>
      </c>
    </row>
    <row r="43" spans="1:12">
      <c r="A43" s="9">
        <f>'Cleaned Data'!M43</f>
        <v>532644.46</v>
      </c>
      <c r="B43" s="9">
        <f>'Cleaned Data'!F43</f>
        <v>3227</v>
      </c>
      <c r="C43">
        <f>'Cleaned Data'!H43</f>
        <v>10</v>
      </c>
      <c r="D43">
        <f>'Cleaned Data'!E43</f>
        <v>46123.88</v>
      </c>
      <c r="E43">
        <f>'Cleaned Data'!K43</f>
        <v>0</v>
      </c>
      <c r="F43">
        <f>'Dummy Variables'!O43</f>
        <v>0</v>
      </c>
      <c r="G43">
        <f>'Dummy Variables'!P43</f>
        <v>0</v>
      </c>
      <c r="H43">
        <f>'Dummy Variables'!Q43</f>
        <v>0</v>
      </c>
      <c r="J43" s="9">
        <v>11</v>
      </c>
      <c r="K43" s="9">
        <v>754397.67475601844</v>
      </c>
      <c r="L43" s="9">
        <v>-31336.914756018436</v>
      </c>
    </row>
    <row r="44" spans="1:12">
      <c r="A44" s="9">
        <f>'Cleaned Data'!M44</f>
        <v>657429.18000000005</v>
      </c>
      <c r="B44" s="9">
        <f>'Cleaned Data'!F44</f>
        <v>3360</v>
      </c>
      <c r="C44">
        <f>'Cleaned Data'!H44</f>
        <v>14</v>
      </c>
      <c r="D44">
        <f>'Cleaned Data'!E44</f>
        <v>68077.539999999994</v>
      </c>
      <c r="E44">
        <f>'Cleaned Data'!K44</f>
        <v>1</v>
      </c>
      <c r="F44">
        <f>'Dummy Variables'!O44</f>
        <v>0</v>
      </c>
      <c r="G44">
        <f>'Dummy Variables'!P44</f>
        <v>0</v>
      </c>
      <c r="H44">
        <f>'Dummy Variables'!Q44</f>
        <v>0</v>
      </c>
      <c r="J44" s="9">
        <v>12</v>
      </c>
      <c r="K44" s="9">
        <v>854601.91330212308</v>
      </c>
      <c r="L44" s="9">
        <v>56190.026697876863</v>
      </c>
    </row>
    <row r="45" spans="1:12">
      <c r="A45" s="9">
        <f>'Cleaned Data'!M45</f>
        <v>605178</v>
      </c>
      <c r="B45" s="9">
        <f>'Cleaned Data'!F45</f>
        <v>3642</v>
      </c>
      <c r="C45">
        <f>'Cleaned Data'!H45</f>
        <v>13</v>
      </c>
      <c r="D45">
        <f>'Cleaned Data'!E45</f>
        <v>64882.14</v>
      </c>
      <c r="E45">
        <f>'Cleaned Data'!K45</f>
        <v>0</v>
      </c>
      <c r="F45">
        <f>'Dummy Variables'!O45</f>
        <v>0</v>
      </c>
      <c r="G45">
        <f>'Dummy Variables'!P45</f>
        <v>0</v>
      </c>
      <c r="H45">
        <f>'Dummy Variables'!Q45</f>
        <v>0</v>
      </c>
      <c r="J45" s="9">
        <v>13</v>
      </c>
      <c r="K45" s="9">
        <v>908254.76367020677</v>
      </c>
      <c r="L45" s="9">
        <v>13913.836329793208</v>
      </c>
    </row>
    <row r="46" spans="1:12">
      <c r="A46" s="9">
        <f>'Cleaned Data'!M46</f>
        <v>595467.6</v>
      </c>
      <c r="B46" s="9">
        <f>'Cleaned Data'!F46</f>
        <v>5145</v>
      </c>
      <c r="C46">
        <f>'Cleaned Data'!H46</f>
        <v>17</v>
      </c>
      <c r="D46">
        <f>'Cleaned Data'!E46</f>
        <v>138855.51</v>
      </c>
      <c r="E46">
        <f>'Cleaned Data'!K46</f>
        <v>0</v>
      </c>
      <c r="F46">
        <f>'Dummy Variables'!O46</f>
        <v>0</v>
      </c>
      <c r="G46">
        <f>'Dummy Variables'!P46</f>
        <v>0</v>
      </c>
      <c r="H46">
        <f>'Dummy Variables'!Q46</f>
        <v>1</v>
      </c>
      <c r="J46" s="9">
        <v>14</v>
      </c>
      <c r="K46" s="9">
        <v>784098.50436540332</v>
      </c>
      <c r="L46" s="9">
        <v>-57492.224365403294</v>
      </c>
    </row>
    <row r="47" spans="1:12">
      <c r="A47" s="9">
        <f>'Cleaned Data'!M47</f>
        <v>599603.4</v>
      </c>
      <c r="B47" s="9">
        <f>'Cleaned Data'!F47</f>
        <v>4460</v>
      </c>
      <c r="C47">
        <f>'Cleaned Data'!H47</f>
        <v>14</v>
      </c>
      <c r="D47">
        <f>'Cleaned Data'!E47</f>
        <v>63630.21</v>
      </c>
      <c r="E47">
        <f>'Cleaned Data'!K47</f>
        <v>0</v>
      </c>
      <c r="F47">
        <f>'Dummy Variables'!O47</f>
        <v>0</v>
      </c>
      <c r="G47">
        <f>'Dummy Variables'!P47</f>
        <v>0</v>
      </c>
      <c r="H47">
        <f>'Dummy Variables'!Q47</f>
        <v>1</v>
      </c>
      <c r="J47" s="9">
        <v>15</v>
      </c>
      <c r="K47" s="9">
        <v>752597.74200079544</v>
      </c>
      <c r="L47" s="9">
        <v>-6096.6520007954678</v>
      </c>
    </row>
    <row r="48" spans="1:12">
      <c r="A48" s="9">
        <f>'Cleaned Data'!M48</f>
        <v>614800.09</v>
      </c>
      <c r="B48" s="9">
        <f>'Cleaned Data'!F48</f>
        <v>3804</v>
      </c>
      <c r="C48">
        <f>'Cleaned Data'!H48</f>
        <v>11</v>
      </c>
      <c r="D48">
        <f>'Cleaned Data'!E48</f>
        <v>50043.65</v>
      </c>
      <c r="E48">
        <f>'Cleaned Data'!K48</f>
        <v>1</v>
      </c>
      <c r="F48">
        <f>'Dummy Variables'!O48</f>
        <v>0</v>
      </c>
      <c r="G48">
        <f>'Dummy Variables'!P48</f>
        <v>0</v>
      </c>
      <c r="H48">
        <f>'Dummy Variables'!Q48</f>
        <v>1</v>
      </c>
      <c r="J48" s="9">
        <v>16</v>
      </c>
      <c r="K48" s="9">
        <v>836946.92205766635</v>
      </c>
      <c r="L48" s="9">
        <v>-2929.9020576663315</v>
      </c>
    </row>
    <row r="49" spans="1:12">
      <c r="A49" s="9">
        <f>'Cleaned Data'!M49</f>
        <v>585365.73</v>
      </c>
      <c r="B49" s="9">
        <f>'Cleaned Data'!F49</f>
        <v>4074</v>
      </c>
      <c r="C49">
        <f>'Cleaned Data'!H49</f>
        <v>15</v>
      </c>
      <c r="D49">
        <f>'Cleaned Data'!E49</f>
        <v>42093.84</v>
      </c>
      <c r="E49">
        <f>'Cleaned Data'!K49</f>
        <v>0</v>
      </c>
      <c r="F49">
        <f>'Dummy Variables'!O49</f>
        <v>0</v>
      </c>
      <c r="G49">
        <f>'Dummy Variables'!P49</f>
        <v>0</v>
      </c>
      <c r="H49">
        <f>'Dummy Variables'!Q49</f>
        <v>1</v>
      </c>
      <c r="J49" s="9">
        <v>17</v>
      </c>
      <c r="K49" s="9">
        <v>692109.00859278394</v>
      </c>
      <c r="L49" s="9">
        <v>-25956.48859278392</v>
      </c>
    </row>
    <row r="50" spans="1:12">
      <c r="A50" s="9">
        <f>'Cleaned Data'!M50</f>
        <v>622811.74</v>
      </c>
      <c r="B50" s="9">
        <f>'Cleaned Data'!F50</f>
        <v>5104</v>
      </c>
      <c r="C50">
        <f>'Cleaned Data'!H50</f>
        <v>11</v>
      </c>
      <c r="D50">
        <f>'Cleaned Data'!E50</f>
        <v>46624.05</v>
      </c>
      <c r="E50">
        <f>'Cleaned Data'!K50</f>
        <v>1</v>
      </c>
      <c r="F50">
        <f>'Dummy Variables'!O50</f>
        <v>1</v>
      </c>
      <c r="G50">
        <f>'Dummy Variables'!P50</f>
        <v>0</v>
      </c>
      <c r="H50">
        <f>'Dummy Variables'!Q50</f>
        <v>0</v>
      </c>
      <c r="J50" s="9">
        <v>18</v>
      </c>
      <c r="K50" s="9">
        <v>608113.93084745621</v>
      </c>
      <c r="L50" s="9">
        <v>-34958.740847456269</v>
      </c>
    </row>
    <row r="51" spans="1:12">
      <c r="A51" s="9">
        <f>'Cleaned Data'!M51</f>
        <v>603297.56999999995</v>
      </c>
      <c r="B51" s="9">
        <f>'Cleaned Data'!F51</f>
        <v>5559</v>
      </c>
      <c r="C51">
        <f>'Cleaned Data'!H51</f>
        <v>14</v>
      </c>
      <c r="D51">
        <f>'Cleaned Data'!E51</f>
        <v>49710.29</v>
      </c>
      <c r="E51">
        <f>'Cleaned Data'!K51</f>
        <v>0</v>
      </c>
      <c r="F51">
        <f>'Dummy Variables'!O51</f>
        <v>1</v>
      </c>
      <c r="G51">
        <f>'Dummy Variables'!P51</f>
        <v>0</v>
      </c>
      <c r="H51">
        <f>'Dummy Variables'!Q51</f>
        <v>0</v>
      </c>
      <c r="J51" s="9">
        <v>19</v>
      </c>
      <c r="K51" s="9">
        <v>681740.45630913705</v>
      </c>
      <c r="L51" s="9">
        <v>-15167.256309137098</v>
      </c>
    </row>
    <row r="52" spans="1:12">
      <c r="A52" s="9">
        <f>'Cleaned Data'!M52</f>
        <v>625672.86</v>
      </c>
      <c r="B52" s="9">
        <f>'Cleaned Data'!F52</f>
        <v>5150</v>
      </c>
      <c r="C52">
        <f>'Cleaned Data'!H52</f>
        <v>12</v>
      </c>
      <c r="D52">
        <f>'Cleaned Data'!E52</f>
        <v>48287.85</v>
      </c>
      <c r="E52">
        <f>'Cleaned Data'!K52</f>
        <v>0</v>
      </c>
      <c r="F52">
        <f>'Dummy Variables'!O52</f>
        <v>1</v>
      </c>
      <c r="G52">
        <f>'Dummy Variables'!P52</f>
        <v>0</v>
      </c>
      <c r="H52">
        <f>'Dummy Variables'!Q52</f>
        <v>0</v>
      </c>
      <c r="J52" s="9">
        <v>20</v>
      </c>
      <c r="K52" s="9">
        <v>621825.83936658083</v>
      </c>
      <c r="L52" s="9">
        <v>-30205.889366580872</v>
      </c>
    </row>
    <row r="53" spans="1:12">
      <c r="A53" s="9">
        <f>'Cleaned Data'!M53</f>
        <v>773815.14</v>
      </c>
      <c r="B53" s="9">
        <f>'Cleaned Data'!F53</f>
        <v>7189</v>
      </c>
      <c r="C53">
        <f>'Cleaned Data'!H53</f>
        <v>19</v>
      </c>
      <c r="D53">
        <f>'Cleaned Data'!E53</f>
        <v>65312.49</v>
      </c>
      <c r="E53">
        <f>'Cleaned Data'!K53</f>
        <v>0</v>
      </c>
      <c r="F53">
        <f>'Dummy Variables'!O53</f>
        <v>1</v>
      </c>
      <c r="G53">
        <f>'Dummy Variables'!P53</f>
        <v>0</v>
      </c>
      <c r="H53">
        <f>'Dummy Variables'!Q53</f>
        <v>0</v>
      </c>
      <c r="J53" s="9">
        <v>21</v>
      </c>
      <c r="K53" s="9">
        <v>521596.503159363</v>
      </c>
      <c r="L53" s="9">
        <v>-105874.68315936299</v>
      </c>
    </row>
    <row r="54" spans="1:12">
      <c r="A54" s="9">
        <f>'Cleaned Data'!M54</f>
        <v>463534.25</v>
      </c>
      <c r="B54" s="9">
        <f>'Cleaned Data'!F54</f>
        <v>3279</v>
      </c>
      <c r="C54">
        <f>'Cleaned Data'!H54</f>
        <v>9</v>
      </c>
      <c r="D54">
        <f>'Cleaned Data'!E54</f>
        <v>53015.46</v>
      </c>
      <c r="E54">
        <f>'Cleaned Data'!K54</f>
        <v>0</v>
      </c>
      <c r="F54">
        <f>'Dummy Variables'!O54</f>
        <v>0</v>
      </c>
      <c r="G54">
        <f>'Dummy Variables'!P54</f>
        <v>0</v>
      </c>
      <c r="H54">
        <f>'Dummy Variables'!Q54</f>
        <v>1</v>
      </c>
      <c r="J54" s="9">
        <v>22</v>
      </c>
      <c r="K54" s="9">
        <v>502343.55591920565</v>
      </c>
      <c r="L54" s="9">
        <v>-10438.425919205649</v>
      </c>
    </row>
    <row r="55" spans="1:12">
      <c r="A55" s="9">
        <f>'Cleaned Data'!M55</f>
        <v>746677.75</v>
      </c>
      <c r="B55" s="9">
        <f>'Cleaned Data'!F55</f>
        <v>5887</v>
      </c>
      <c r="C55">
        <f>'Cleaned Data'!H55</f>
        <v>14</v>
      </c>
      <c r="D55">
        <f>'Cleaned Data'!E55</f>
        <v>99874.01</v>
      </c>
      <c r="E55">
        <f>'Cleaned Data'!K55</f>
        <v>0</v>
      </c>
      <c r="F55">
        <f>'Dummy Variables'!O55</f>
        <v>0</v>
      </c>
      <c r="G55">
        <f>'Dummy Variables'!P55</f>
        <v>0</v>
      </c>
      <c r="H55">
        <f>'Dummy Variables'!Q55</f>
        <v>1</v>
      </c>
      <c r="J55" s="9">
        <v>23</v>
      </c>
      <c r="K55" s="9">
        <v>572515.54377050791</v>
      </c>
      <c r="L55" s="9">
        <v>-16586.143770507886</v>
      </c>
    </row>
    <row r="56" spans="1:12">
      <c r="A56" s="9">
        <f>'Cleaned Data'!M56</f>
        <v>720852.5</v>
      </c>
      <c r="B56" s="9">
        <f>'Cleaned Data'!F56</f>
        <v>5516</v>
      </c>
      <c r="C56">
        <f>'Cleaned Data'!H56</f>
        <v>14</v>
      </c>
      <c r="D56">
        <f>'Cleaned Data'!E56</f>
        <v>81195.5</v>
      </c>
      <c r="E56">
        <f>'Cleaned Data'!K56</f>
        <v>0</v>
      </c>
      <c r="F56">
        <f>'Dummy Variables'!O56</f>
        <v>0</v>
      </c>
      <c r="G56">
        <f>'Dummy Variables'!P56</f>
        <v>0</v>
      </c>
      <c r="H56">
        <f>'Dummy Variables'!Q56</f>
        <v>1</v>
      </c>
      <c r="J56" s="9">
        <v>24</v>
      </c>
      <c r="K56" s="9">
        <v>558445.90451569087</v>
      </c>
      <c r="L56" s="9">
        <v>7365.085484309122</v>
      </c>
    </row>
    <row r="57" spans="1:12">
      <c r="A57" s="9">
        <f>'Cleaned Data'!M57</f>
        <v>487464.91</v>
      </c>
      <c r="B57" s="9">
        <f>'Cleaned Data'!F57</f>
        <v>2863</v>
      </c>
      <c r="C57">
        <f>'Cleaned Data'!H57</f>
        <v>13</v>
      </c>
      <c r="D57">
        <f>'Cleaned Data'!E57</f>
        <v>27808.6</v>
      </c>
      <c r="E57">
        <f>'Cleaned Data'!K57</f>
        <v>0</v>
      </c>
      <c r="F57">
        <f>'Dummy Variables'!O57</f>
        <v>0</v>
      </c>
      <c r="G57">
        <f>'Dummy Variables'!P57</f>
        <v>0</v>
      </c>
      <c r="H57">
        <f>'Dummy Variables'!Q57</f>
        <v>1</v>
      </c>
      <c r="J57" s="9">
        <v>25</v>
      </c>
      <c r="K57" s="9">
        <v>815025.68111817271</v>
      </c>
      <c r="L57" s="9">
        <v>-3254.5411181726959</v>
      </c>
    </row>
    <row r="58" spans="1:12">
      <c r="A58" s="9">
        <f>'Cleaned Data'!M58</f>
        <v>518049.26</v>
      </c>
      <c r="B58" s="9">
        <f>'Cleaned Data'!F58</f>
        <v>2378</v>
      </c>
      <c r="C58">
        <f>'Cleaned Data'!H58</f>
        <v>12</v>
      </c>
      <c r="D58">
        <f>'Cleaned Data'!E58</f>
        <v>19365.060000000001</v>
      </c>
      <c r="E58">
        <f>'Cleaned Data'!K58</f>
        <v>0</v>
      </c>
      <c r="F58">
        <f>'Dummy Variables'!O58</f>
        <v>0</v>
      </c>
      <c r="G58">
        <f>'Dummy Variables'!P58</f>
        <v>0</v>
      </c>
      <c r="H58">
        <f>'Dummy Variables'!Q58</f>
        <v>0</v>
      </c>
      <c r="J58" s="9">
        <v>26</v>
      </c>
      <c r="K58" s="9">
        <v>900690.6824207583</v>
      </c>
      <c r="L58" s="9">
        <v>-100238.74242075835</v>
      </c>
    </row>
    <row r="59" spans="1:12">
      <c r="A59" s="9">
        <f>'Cleaned Data'!M59</f>
        <v>500298.48</v>
      </c>
      <c r="B59" s="9">
        <f>'Cleaned Data'!F59</f>
        <v>2515</v>
      </c>
      <c r="C59">
        <f>'Cleaned Data'!H59</f>
        <v>12</v>
      </c>
      <c r="D59">
        <f>'Cleaned Data'!E59</f>
        <v>59405.68</v>
      </c>
      <c r="E59">
        <f>'Cleaned Data'!K59</f>
        <v>0</v>
      </c>
      <c r="F59">
        <f>'Dummy Variables'!O59</f>
        <v>0</v>
      </c>
      <c r="G59">
        <f>'Dummy Variables'!P59</f>
        <v>0</v>
      </c>
      <c r="H59">
        <f>'Dummy Variables'!Q59</f>
        <v>0</v>
      </c>
      <c r="J59" s="9">
        <v>27</v>
      </c>
      <c r="K59" s="9">
        <v>781190.82612585893</v>
      </c>
      <c r="L59" s="9">
        <v>2481.9938741410151</v>
      </c>
    </row>
    <row r="60" spans="1:12">
      <c r="A60" s="9">
        <f>'Cleaned Data'!M60</f>
        <v>617291.15</v>
      </c>
      <c r="B60" s="9">
        <f>'Cleaned Data'!F60</f>
        <v>4022</v>
      </c>
      <c r="C60">
        <f>'Cleaned Data'!H60</f>
        <v>11</v>
      </c>
      <c r="D60">
        <f>'Cleaned Data'!E60</f>
        <v>118910.48</v>
      </c>
      <c r="E60">
        <f>'Cleaned Data'!K60</f>
        <v>0</v>
      </c>
      <c r="F60">
        <f>'Dummy Variables'!O60</f>
        <v>0</v>
      </c>
      <c r="G60">
        <f>'Dummy Variables'!P60</f>
        <v>0</v>
      </c>
      <c r="H60">
        <f>'Dummy Variables'!Q60</f>
        <v>0</v>
      </c>
      <c r="J60" s="9">
        <v>28</v>
      </c>
      <c r="K60" s="9">
        <v>700823.29437404999</v>
      </c>
      <c r="L60" s="9">
        <v>818.67562594998162</v>
      </c>
    </row>
    <row r="61" spans="1:12">
      <c r="A61" s="9">
        <f>'Cleaned Data'!M61</f>
        <v>553756.43000000005</v>
      </c>
      <c r="B61" s="9">
        <f>'Cleaned Data'!F61</f>
        <v>4377</v>
      </c>
      <c r="C61">
        <f>'Cleaned Data'!H61</f>
        <v>14</v>
      </c>
      <c r="D61">
        <f>'Cleaned Data'!E61</f>
        <v>52952.12</v>
      </c>
      <c r="E61">
        <f>'Cleaned Data'!K61</f>
        <v>0</v>
      </c>
      <c r="F61">
        <f>'Dummy Variables'!O61</f>
        <v>0</v>
      </c>
      <c r="G61">
        <f>'Dummy Variables'!P61</f>
        <v>0</v>
      </c>
      <c r="H61">
        <f>'Dummy Variables'!Q61</f>
        <v>0</v>
      </c>
      <c r="J61" s="9">
        <v>29</v>
      </c>
      <c r="K61" s="9">
        <v>590990.25251644442</v>
      </c>
      <c r="L61" s="9">
        <v>-79145.842516444449</v>
      </c>
    </row>
    <row r="62" spans="1:12">
      <c r="A62" s="9">
        <f>'Cleaned Data'!M62</f>
        <v>749559.71</v>
      </c>
      <c r="B62" s="9">
        <f>'Cleaned Data'!F62</f>
        <v>5306</v>
      </c>
      <c r="C62">
        <f>'Cleaned Data'!H62</f>
        <v>16</v>
      </c>
      <c r="D62">
        <f>'Cleaned Data'!E62</f>
        <v>74907.98</v>
      </c>
      <c r="E62">
        <f>'Cleaned Data'!K62</f>
        <v>0</v>
      </c>
      <c r="F62">
        <f>'Dummy Variables'!O62</f>
        <v>0</v>
      </c>
      <c r="G62">
        <f>'Dummy Variables'!P62</f>
        <v>1</v>
      </c>
      <c r="H62">
        <f>'Dummy Variables'!Q62</f>
        <v>0</v>
      </c>
      <c r="J62" s="9">
        <v>30</v>
      </c>
      <c r="K62" s="9">
        <v>533384.68476372701</v>
      </c>
      <c r="L62" s="9">
        <v>3999.1052362730261</v>
      </c>
    </row>
    <row r="63" spans="1:12">
      <c r="A63" s="9">
        <f>'Cleaned Data'!M63</f>
        <v>615966.48</v>
      </c>
      <c r="B63" s="9">
        <f>'Cleaned Data'!F63</f>
        <v>3928</v>
      </c>
      <c r="C63">
        <f>'Cleaned Data'!H63</f>
        <v>12</v>
      </c>
      <c r="D63">
        <f>'Cleaned Data'!E63</f>
        <v>37284.660000000003</v>
      </c>
      <c r="E63">
        <f>'Cleaned Data'!K63</f>
        <v>0</v>
      </c>
      <c r="F63">
        <f>'Dummy Variables'!O63</f>
        <v>0</v>
      </c>
      <c r="G63">
        <f>'Dummy Variables'!P63</f>
        <v>1</v>
      </c>
      <c r="H63">
        <f>'Dummy Variables'!Q63</f>
        <v>0</v>
      </c>
      <c r="J63" s="9">
        <v>31</v>
      </c>
      <c r="K63" s="9">
        <v>531937.48093054129</v>
      </c>
      <c r="L63" s="9">
        <v>-31764.460930541274</v>
      </c>
    </row>
    <row r="64" spans="1:12">
      <c r="A64" s="9">
        <f>'Cleaned Data'!M64</f>
        <v>572011.19999999995</v>
      </c>
      <c r="B64" s="9">
        <f>'Cleaned Data'!F64</f>
        <v>3845</v>
      </c>
      <c r="C64">
        <f>'Cleaned Data'!H64</f>
        <v>9</v>
      </c>
      <c r="D64">
        <f>'Cleaned Data'!E64</f>
        <v>50343.19</v>
      </c>
      <c r="E64">
        <f>'Cleaned Data'!K64</f>
        <v>0</v>
      </c>
      <c r="F64">
        <f>'Dummy Variables'!O64</f>
        <v>0</v>
      </c>
      <c r="G64">
        <f>'Dummy Variables'!P64</f>
        <v>1</v>
      </c>
      <c r="H64">
        <f>'Dummy Variables'!Q64</f>
        <v>0</v>
      </c>
      <c r="J64" s="9">
        <v>32</v>
      </c>
      <c r="K64" s="9">
        <v>490118.41207472235</v>
      </c>
      <c r="L64" s="9">
        <v>-62201.032074722345</v>
      </c>
    </row>
    <row r="65" spans="1:12">
      <c r="A65" s="9">
        <f>'Cleaned Data'!M65</f>
        <v>761860.19</v>
      </c>
      <c r="B65" s="9">
        <f>'Cleaned Data'!F65</f>
        <v>6620</v>
      </c>
      <c r="C65">
        <f>'Cleaned Data'!H65</f>
        <v>17</v>
      </c>
      <c r="D65">
        <f>'Cleaned Data'!E65</f>
        <v>74954.47</v>
      </c>
      <c r="E65">
        <f>'Cleaned Data'!K65</f>
        <v>0</v>
      </c>
      <c r="F65">
        <f>'Dummy Variables'!O65</f>
        <v>0</v>
      </c>
      <c r="G65">
        <f>'Dummy Variables'!P65</f>
        <v>1</v>
      </c>
      <c r="H65">
        <f>'Dummy Variables'!Q65</f>
        <v>0</v>
      </c>
      <c r="J65" s="9">
        <v>33</v>
      </c>
      <c r="K65" s="9">
        <v>770451.97064099042</v>
      </c>
      <c r="L65" s="9">
        <v>-128586.94064099039</v>
      </c>
    </row>
    <row r="66" spans="1:12">
      <c r="A66" s="9">
        <f>'Cleaned Data'!M66</f>
        <v>784502.68</v>
      </c>
      <c r="B66" s="9">
        <f>'Cleaned Data'!F66</f>
        <v>9175</v>
      </c>
      <c r="C66">
        <f>'Cleaned Data'!H66</f>
        <v>23</v>
      </c>
      <c r="D66">
        <f>'Cleaned Data'!E66</f>
        <v>70040.31</v>
      </c>
      <c r="E66">
        <f>'Cleaned Data'!K66</f>
        <v>1</v>
      </c>
      <c r="F66">
        <f>'Dummy Variables'!O66</f>
        <v>0</v>
      </c>
      <c r="G66">
        <f>'Dummy Variables'!P66</f>
        <v>0</v>
      </c>
      <c r="H66">
        <f>'Dummy Variables'!Q66</f>
        <v>1</v>
      </c>
      <c r="J66" s="9">
        <v>34</v>
      </c>
      <c r="K66" s="9">
        <v>867881.00513157528</v>
      </c>
      <c r="L66" s="9">
        <v>-68403.24513157527</v>
      </c>
    </row>
    <row r="67" spans="1:12">
      <c r="A67" s="9">
        <f>'Cleaned Data'!M67</f>
        <v>717141.55</v>
      </c>
      <c r="B67" s="9">
        <f>'Cleaned Data'!F67</f>
        <v>7940</v>
      </c>
      <c r="C67">
        <f>'Cleaned Data'!H67</f>
        <v>18</v>
      </c>
      <c r="D67">
        <f>'Cleaned Data'!E67</f>
        <v>51148.69</v>
      </c>
      <c r="E67">
        <f>'Cleaned Data'!K67</f>
        <v>0</v>
      </c>
      <c r="F67">
        <f>'Dummy Variables'!O67</f>
        <v>0</v>
      </c>
      <c r="G67">
        <f>'Dummy Variables'!P67</f>
        <v>0</v>
      </c>
      <c r="H67">
        <f>'Dummy Variables'!Q67</f>
        <v>1</v>
      </c>
      <c r="J67" s="9">
        <v>35</v>
      </c>
      <c r="K67" s="9">
        <v>798185.81117057672</v>
      </c>
      <c r="L67" s="9">
        <v>766.35882942331955</v>
      </c>
    </row>
    <row r="68" spans="1:12">
      <c r="A68" s="9">
        <f>'Cleaned Data'!M68</f>
        <v>685379.08</v>
      </c>
      <c r="B68" s="9">
        <f>'Cleaned Data'!F68</f>
        <v>9628</v>
      </c>
      <c r="C68">
        <f>'Cleaned Data'!H68</f>
        <v>20</v>
      </c>
      <c r="D68">
        <f>'Cleaned Data'!E68</f>
        <v>79346.100000000006</v>
      </c>
      <c r="E68">
        <f>'Cleaned Data'!K68</f>
        <v>1</v>
      </c>
      <c r="F68">
        <f>'Dummy Variables'!O68</f>
        <v>0</v>
      </c>
      <c r="G68">
        <f>'Dummy Variables'!P68</f>
        <v>0</v>
      </c>
      <c r="H68">
        <f>'Dummy Variables'!Q68</f>
        <v>1</v>
      </c>
      <c r="J68" s="9">
        <v>36</v>
      </c>
      <c r="K68" s="9">
        <v>807290.12429647532</v>
      </c>
      <c r="L68" s="9">
        <v>-6310.3442964752903</v>
      </c>
    </row>
    <row r="69" spans="1:12">
      <c r="A69" s="9">
        <f>'Cleaned Data'!M69</f>
        <v>740496.65</v>
      </c>
      <c r="B69" s="9">
        <f>'Cleaned Data'!F69</f>
        <v>8296</v>
      </c>
      <c r="C69">
        <f>'Cleaned Data'!H69</f>
        <v>17</v>
      </c>
      <c r="D69">
        <f>'Cleaned Data'!E69</f>
        <v>42018.400000000001</v>
      </c>
      <c r="E69">
        <f>'Cleaned Data'!K69</f>
        <v>0</v>
      </c>
      <c r="F69">
        <f>'Dummy Variables'!O69</f>
        <v>0</v>
      </c>
      <c r="G69">
        <f>'Dummy Variables'!P69</f>
        <v>0</v>
      </c>
      <c r="H69">
        <f>'Dummy Variables'!Q69</f>
        <v>1</v>
      </c>
      <c r="J69" s="9">
        <v>37</v>
      </c>
      <c r="K69" s="9">
        <v>788895.87652918813</v>
      </c>
      <c r="L69" s="9">
        <v>31698.053470811923</v>
      </c>
    </row>
    <row r="70" spans="1:12">
      <c r="A70" s="9">
        <f>'Cleaned Data'!M70</f>
        <v>661927.14</v>
      </c>
      <c r="B70" s="9">
        <f>'Cleaned Data'!F70</f>
        <v>3595</v>
      </c>
      <c r="C70">
        <f>'Cleaned Data'!H70</f>
        <v>11</v>
      </c>
      <c r="D70">
        <f>'Cleaned Data'!E70</f>
        <v>70937.240000000005</v>
      </c>
      <c r="E70">
        <f>'Cleaned Data'!K70</f>
        <v>1</v>
      </c>
      <c r="F70">
        <f>'Dummy Variables'!O70</f>
        <v>0</v>
      </c>
      <c r="G70">
        <f>'Dummy Variables'!P70</f>
        <v>0</v>
      </c>
      <c r="H70">
        <f>'Dummy Variables'!Q70</f>
        <v>0</v>
      </c>
      <c r="J70" s="9">
        <v>38</v>
      </c>
      <c r="K70" s="9">
        <v>736092.13274164568</v>
      </c>
      <c r="L70" s="9">
        <v>-17761.602741645649</v>
      </c>
    </row>
    <row r="71" spans="1:12">
      <c r="A71" s="9">
        <f>'Cleaned Data'!M71</f>
        <v>479050.5</v>
      </c>
      <c r="B71" s="9">
        <f>'Cleaned Data'!F71</f>
        <v>2834</v>
      </c>
      <c r="C71">
        <f>'Cleaned Data'!H71</f>
        <v>11</v>
      </c>
      <c r="D71">
        <f>'Cleaned Data'!E71</f>
        <v>36813.449999999997</v>
      </c>
      <c r="E71">
        <f>'Cleaned Data'!K71</f>
        <v>0</v>
      </c>
      <c r="F71">
        <f>'Dummy Variables'!O71</f>
        <v>0</v>
      </c>
      <c r="G71">
        <f>'Dummy Variables'!P71</f>
        <v>0</v>
      </c>
      <c r="H71">
        <f>'Dummy Variables'!Q71</f>
        <v>0</v>
      </c>
      <c r="J71" s="9">
        <v>39</v>
      </c>
      <c r="K71" s="9">
        <v>755222.62591866427</v>
      </c>
      <c r="L71" s="9">
        <v>-18589.225918664248</v>
      </c>
    </row>
    <row r="72" spans="1:12">
      <c r="A72" s="9">
        <f>'Cleaned Data'!M72</f>
        <v>605023.87</v>
      </c>
      <c r="B72" s="9">
        <f>'Cleaned Data'!F72</f>
        <v>3193</v>
      </c>
      <c r="C72">
        <f>'Cleaned Data'!H72</f>
        <v>7</v>
      </c>
      <c r="D72">
        <f>'Cleaned Data'!E72</f>
        <v>60571.82</v>
      </c>
      <c r="E72">
        <f>'Cleaned Data'!K72</f>
        <v>0</v>
      </c>
      <c r="F72">
        <f>'Dummy Variables'!O72</f>
        <v>0</v>
      </c>
      <c r="G72">
        <f>'Dummy Variables'!P72</f>
        <v>0</v>
      </c>
      <c r="H72">
        <f>'Dummy Variables'!Q72</f>
        <v>0</v>
      </c>
      <c r="J72" s="9">
        <v>40</v>
      </c>
      <c r="K72" s="9">
        <v>794172.7946672088</v>
      </c>
      <c r="L72" s="9">
        <v>34451.055332791177</v>
      </c>
    </row>
    <row r="73" spans="1:12">
      <c r="A73" s="9">
        <f>'Cleaned Data'!M73</f>
        <v>674774.09</v>
      </c>
      <c r="B73" s="9">
        <f>'Cleaned Data'!F73</f>
        <v>5485</v>
      </c>
      <c r="C73">
        <f>'Cleaned Data'!H73</f>
        <v>12</v>
      </c>
      <c r="D73">
        <f>'Cleaned Data'!E73</f>
        <v>55081.16</v>
      </c>
      <c r="E73">
        <f>'Cleaned Data'!K73</f>
        <v>0</v>
      </c>
      <c r="F73">
        <f>'Dummy Variables'!O73</f>
        <v>0</v>
      </c>
      <c r="G73">
        <f>'Dummy Variables'!P73</f>
        <v>0</v>
      </c>
      <c r="H73">
        <f>'Dummy Variables'!Q73</f>
        <v>0</v>
      </c>
      <c r="J73" s="9">
        <v>41</v>
      </c>
      <c r="K73" s="9">
        <v>549391.56295445678</v>
      </c>
      <c r="L73" s="9">
        <v>42804.287045543198</v>
      </c>
    </row>
    <row r="74" spans="1:12">
      <c r="A74" s="9">
        <f>'Cleaned Data'!M74</f>
        <v>616069.41</v>
      </c>
      <c r="B74" s="9">
        <f>'Cleaned Data'!F74</f>
        <v>5918</v>
      </c>
      <c r="C74">
        <f>'Cleaned Data'!H74</f>
        <v>13</v>
      </c>
      <c r="D74">
        <f>'Cleaned Data'!E74</f>
        <v>46201.46</v>
      </c>
      <c r="E74">
        <f>'Cleaned Data'!K74</f>
        <v>0</v>
      </c>
      <c r="F74">
        <f>'Dummy Variables'!O74</f>
        <v>0</v>
      </c>
      <c r="G74">
        <f>'Dummy Variables'!P74</f>
        <v>0</v>
      </c>
      <c r="H74">
        <f>'Dummy Variables'!Q74</f>
        <v>0</v>
      </c>
      <c r="J74" s="9">
        <v>42</v>
      </c>
      <c r="K74" s="9">
        <v>540830.98223970237</v>
      </c>
      <c r="L74" s="9">
        <v>-8186.5222397024045</v>
      </c>
    </row>
    <row r="75" spans="1:12">
      <c r="A75" s="9">
        <f>'Cleaned Data'!M75</f>
        <v>630829.93999999994</v>
      </c>
      <c r="B75" s="9">
        <f>'Cleaned Data'!F75</f>
        <v>6821</v>
      </c>
      <c r="C75">
        <f>'Cleaned Data'!H75</f>
        <v>19</v>
      </c>
      <c r="D75">
        <f>'Cleaned Data'!E75</f>
        <v>53762.92</v>
      </c>
      <c r="E75">
        <f>'Cleaned Data'!K75</f>
        <v>0</v>
      </c>
      <c r="F75">
        <f>'Dummy Variables'!O75</f>
        <v>0</v>
      </c>
      <c r="G75">
        <f>'Dummy Variables'!P75</f>
        <v>0</v>
      </c>
      <c r="H75">
        <f>'Dummy Variables'!Q75</f>
        <v>0</v>
      </c>
      <c r="J75" s="9">
        <v>43</v>
      </c>
      <c r="K75" s="9">
        <v>591183.79838433326</v>
      </c>
      <c r="L75" s="9">
        <v>66245.381615666789</v>
      </c>
    </row>
    <row r="76" spans="1:12">
      <c r="A76" s="9">
        <f>'Cleaned Data'!M76</f>
        <v>788087.68</v>
      </c>
      <c r="B76" s="9">
        <f>'Cleaned Data'!F76</f>
        <v>6806</v>
      </c>
      <c r="C76">
        <f>'Cleaned Data'!H76</f>
        <v>20</v>
      </c>
      <c r="D76">
        <f>'Cleaned Data'!E76</f>
        <v>70144.78</v>
      </c>
      <c r="E76">
        <f>'Cleaned Data'!K76</f>
        <v>1</v>
      </c>
      <c r="F76">
        <f>'Dummy Variables'!O76</f>
        <v>0</v>
      </c>
      <c r="G76">
        <f>'Dummy Variables'!P76</f>
        <v>0</v>
      </c>
      <c r="H76">
        <f>'Dummy Variables'!Q76</f>
        <v>0</v>
      </c>
      <c r="J76" s="9">
        <v>44</v>
      </c>
      <c r="K76" s="9">
        <v>581245.19234810187</v>
      </c>
      <c r="L76" s="9">
        <v>23932.807651898125</v>
      </c>
    </row>
    <row r="77" spans="1:12">
      <c r="A77" s="9">
        <f>'Cleaned Data'!M77</f>
        <v>680840.36</v>
      </c>
      <c r="B77" s="9">
        <f>'Cleaned Data'!F77</f>
        <v>8252</v>
      </c>
      <c r="C77">
        <f>'Cleaned Data'!H77</f>
        <v>20</v>
      </c>
      <c r="D77">
        <f>'Cleaned Data'!E77</f>
        <v>58749.63</v>
      </c>
      <c r="E77">
        <f>'Cleaned Data'!K77</f>
        <v>0</v>
      </c>
      <c r="F77">
        <f>'Dummy Variables'!O77</f>
        <v>0</v>
      </c>
      <c r="G77">
        <f>'Dummy Variables'!P77</f>
        <v>0</v>
      </c>
      <c r="H77">
        <f>'Dummy Variables'!Q77</f>
        <v>0</v>
      </c>
      <c r="J77" s="9">
        <v>45</v>
      </c>
      <c r="K77" s="9">
        <v>740179.86033669033</v>
      </c>
      <c r="L77" s="9">
        <v>-144712.26033669035</v>
      </c>
    </row>
    <row r="78" spans="1:12">
      <c r="A78" s="9">
        <f>'Cleaned Data'!M78</f>
        <v>643657.47</v>
      </c>
      <c r="B78" s="9">
        <f>'Cleaned Data'!F78</f>
        <v>6662</v>
      </c>
      <c r="C78">
        <f>'Cleaned Data'!H78</f>
        <v>15</v>
      </c>
      <c r="D78">
        <f>'Cleaned Data'!E78</f>
        <v>56973.18</v>
      </c>
      <c r="E78">
        <f>'Cleaned Data'!K78</f>
        <v>1</v>
      </c>
      <c r="F78">
        <f>'Dummy Variables'!O78</f>
        <v>0</v>
      </c>
      <c r="G78">
        <f>'Dummy Variables'!P78</f>
        <v>1</v>
      </c>
      <c r="H78">
        <f>'Dummy Variables'!Q78</f>
        <v>0</v>
      </c>
      <c r="J78" s="9">
        <v>46</v>
      </c>
      <c r="K78" s="9">
        <v>627659.72358812857</v>
      </c>
      <c r="L78" s="9">
        <v>-28056.323588128551</v>
      </c>
    </row>
    <row r="79" spans="1:12">
      <c r="A79" s="9">
        <f>'Cleaned Data'!M79</f>
        <v>691112.6</v>
      </c>
      <c r="B79" s="9">
        <f>'Cleaned Data'!F79</f>
        <v>5962</v>
      </c>
      <c r="C79">
        <f>'Cleaned Data'!H79</f>
        <v>12</v>
      </c>
      <c r="D79">
        <f>'Cleaned Data'!E79</f>
        <v>54872.82</v>
      </c>
      <c r="E79">
        <f>'Cleaned Data'!K79</f>
        <v>0</v>
      </c>
      <c r="F79">
        <f>'Dummy Variables'!O79</f>
        <v>0</v>
      </c>
      <c r="G79">
        <f>'Dummy Variables'!P79</f>
        <v>1</v>
      </c>
      <c r="H79">
        <f>'Dummy Variables'!Q79</f>
        <v>0</v>
      </c>
      <c r="J79" s="9">
        <v>47</v>
      </c>
      <c r="K79" s="9">
        <v>598322.2790129385</v>
      </c>
      <c r="L79" s="9">
        <v>16477.810987061472</v>
      </c>
    </row>
    <row r="80" spans="1:12">
      <c r="A80" s="9">
        <f>'Cleaned Data'!M80</f>
        <v>776922.17</v>
      </c>
      <c r="B80" s="9">
        <f>'Cleaned Data'!F80</f>
        <v>7470</v>
      </c>
      <c r="C80">
        <f>'Cleaned Data'!H80</f>
        <v>16</v>
      </c>
      <c r="D80">
        <f>'Cleaned Data'!E80</f>
        <v>80562.81</v>
      </c>
      <c r="E80">
        <f>'Cleaned Data'!K80</f>
        <v>0</v>
      </c>
      <c r="F80">
        <f>'Dummy Variables'!O80</f>
        <v>0</v>
      </c>
      <c r="G80">
        <f>'Dummy Variables'!P80</f>
        <v>1</v>
      </c>
      <c r="H80">
        <f>'Dummy Variables'!Q80</f>
        <v>0</v>
      </c>
      <c r="J80" s="9">
        <v>48</v>
      </c>
      <c r="K80" s="9">
        <v>594176.35219967924</v>
      </c>
      <c r="L80" s="9">
        <v>-8810.6221996792592</v>
      </c>
    </row>
    <row r="81" spans="1:12">
      <c r="A81" s="9">
        <f>'Cleaned Data'!M81</f>
        <v>636561.34</v>
      </c>
      <c r="B81" s="9">
        <f>'Cleaned Data'!F81</f>
        <v>5974</v>
      </c>
      <c r="C81">
        <f>'Cleaned Data'!H81</f>
        <v>14</v>
      </c>
      <c r="D81">
        <f>'Cleaned Data'!E81</f>
        <v>77999.899999999994</v>
      </c>
      <c r="E81">
        <f>'Cleaned Data'!K81</f>
        <v>0</v>
      </c>
      <c r="F81">
        <f>'Dummy Variables'!O81</f>
        <v>0</v>
      </c>
      <c r="G81">
        <f>'Dummy Variables'!P81</f>
        <v>1</v>
      </c>
      <c r="H81">
        <f>'Dummy Variables'!Q81</f>
        <v>0</v>
      </c>
      <c r="J81" s="9">
        <v>49</v>
      </c>
      <c r="K81" s="9">
        <v>623828.7825676155</v>
      </c>
      <c r="L81" s="9">
        <v>-1017.0425676155137</v>
      </c>
    </row>
    <row r="82" spans="1:12">
      <c r="A82" s="9">
        <f>'Cleaned Data'!M82</f>
        <v>621369.57999999996</v>
      </c>
      <c r="B82" s="9">
        <f>'Cleaned Data'!F82</f>
        <v>5410</v>
      </c>
      <c r="C82">
        <f>'Cleaned Data'!H82</f>
        <v>15</v>
      </c>
      <c r="D82">
        <f>'Cleaned Data'!E82</f>
        <v>60881.01</v>
      </c>
      <c r="E82">
        <f>'Cleaned Data'!K82</f>
        <v>0</v>
      </c>
      <c r="F82">
        <f>'Dummy Variables'!O82</f>
        <v>0</v>
      </c>
      <c r="G82">
        <f>'Dummy Variables'!P82</f>
        <v>0</v>
      </c>
      <c r="H82">
        <f>'Dummy Variables'!Q82</f>
        <v>1</v>
      </c>
      <c r="J82" s="9">
        <v>50</v>
      </c>
      <c r="K82" s="9">
        <v>635339.73860653699</v>
      </c>
      <c r="L82" s="9">
        <v>-32042.168606537045</v>
      </c>
    </row>
    <row r="83" spans="1:12">
      <c r="A83" s="9">
        <f>'Cleaned Data'!M83</f>
        <v>682208.01</v>
      </c>
      <c r="B83" s="9">
        <f>'Cleaned Data'!F83</f>
        <v>4451</v>
      </c>
      <c r="C83">
        <f>'Cleaned Data'!H83</f>
        <v>10</v>
      </c>
      <c r="D83">
        <f>'Cleaned Data'!E83</f>
        <v>60628.38</v>
      </c>
      <c r="E83">
        <f>'Cleaned Data'!K83</f>
        <v>0</v>
      </c>
      <c r="F83">
        <f>'Dummy Variables'!O83</f>
        <v>0</v>
      </c>
      <c r="G83">
        <f>'Dummy Variables'!P83</f>
        <v>0</v>
      </c>
      <c r="H83">
        <f>'Dummy Variables'!Q83</f>
        <v>1</v>
      </c>
      <c r="J83" s="9">
        <v>51</v>
      </c>
      <c r="K83" s="9">
        <v>617119.63088214141</v>
      </c>
      <c r="L83" s="9">
        <v>8553.2291178585729</v>
      </c>
    </row>
    <row r="84" spans="1:12">
      <c r="A84" s="9">
        <f>'Cleaned Data'!M84</f>
        <v>727241.86</v>
      </c>
      <c r="B84" s="9">
        <f>'Cleaned Data'!F84</f>
        <v>4644</v>
      </c>
      <c r="C84">
        <f>'Cleaned Data'!H84</f>
        <v>15</v>
      </c>
      <c r="D84">
        <f>'Cleaned Data'!E84</f>
        <v>72731.14</v>
      </c>
      <c r="E84">
        <f>'Cleaned Data'!K84</f>
        <v>0</v>
      </c>
      <c r="F84">
        <f>'Dummy Variables'!O84</f>
        <v>0</v>
      </c>
      <c r="G84">
        <f>'Dummy Variables'!P84</f>
        <v>0</v>
      </c>
      <c r="H84">
        <f>'Dummy Variables'!Q84</f>
        <v>1</v>
      </c>
      <c r="J84" s="9">
        <v>52</v>
      </c>
      <c r="K84" s="9">
        <v>712383.82808896923</v>
      </c>
      <c r="L84" s="9">
        <v>61431.311911030789</v>
      </c>
    </row>
    <row r="85" spans="1:12">
      <c r="A85" s="9">
        <f>'Cleaned Data'!M85</f>
        <v>569100.78</v>
      </c>
      <c r="B85" s="9">
        <f>'Cleaned Data'!F85</f>
        <v>3559</v>
      </c>
      <c r="C85">
        <f>'Cleaned Data'!H85</f>
        <v>8</v>
      </c>
      <c r="D85">
        <f>'Cleaned Data'!E85</f>
        <v>36475.71</v>
      </c>
      <c r="E85">
        <f>'Cleaned Data'!K85</f>
        <v>0</v>
      </c>
      <c r="F85">
        <f>'Dummy Variables'!O85</f>
        <v>0</v>
      </c>
      <c r="G85">
        <f>'Dummy Variables'!P85</f>
        <v>0</v>
      </c>
      <c r="H85">
        <f>'Dummy Variables'!Q85</f>
        <v>1</v>
      </c>
      <c r="J85" s="9">
        <v>53</v>
      </c>
      <c r="K85" s="9">
        <v>569440.87169743062</v>
      </c>
      <c r="L85" s="9">
        <v>-105906.62169743062</v>
      </c>
    </row>
    <row r="86" spans="1:12">
      <c r="A86" s="9">
        <f>'Cleaned Data'!M86</f>
        <v>574436.29</v>
      </c>
      <c r="B86" s="9">
        <f>'Cleaned Data'!F86</f>
        <v>3091</v>
      </c>
      <c r="C86">
        <f>'Cleaned Data'!H86</f>
        <v>7</v>
      </c>
      <c r="D86">
        <f>'Cleaned Data'!E86</f>
        <v>55388.11</v>
      </c>
      <c r="E86">
        <f>'Cleaned Data'!K86</f>
        <v>0</v>
      </c>
      <c r="F86">
        <f>'Dummy Variables'!O86</f>
        <v>0</v>
      </c>
      <c r="G86">
        <f>'Dummy Variables'!P86</f>
        <v>0</v>
      </c>
      <c r="H86">
        <f>'Dummy Variables'!Q86</f>
        <v>1</v>
      </c>
      <c r="J86" s="9">
        <v>54</v>
      </c>
      <c r="K86" s="9">
        <v>710673.41753123619</v>
      </c>
      <c r="L86" s="9">
        <v>36004.332468763809</v>
      </c>
    </row>
    <row r="87" spans="1:12">
      <c r="A87" s="9">
        <f>'Cleaned Data'!M87</f>
        <v>611766.72</v>
      </c>
      <c r="B87" s="9">
        <f>'Cleaned Data'!F87</f>
        <v>4004</v>
      </c>
      <c r="C87">
        <f>'Cleaned Data'!H87</f>
        <v>11</v>
      </c>
      <c r="D87">
        <f>'Cleaned Data'!E87</f>
        <v>88443.77</v>
      </c>
      <c r="E87">
        <f>'Cleaned Data'!K87</f>
        <v>0</v>
      </c>
      <c r="F87">
        <f>'Dummy Variables'!O87</f>
        <v>0</v>
      </c>
      <c r="G87">
        <f>'Dummy Variables'!P87</f>
        <v>0</v>
      </c>
      <c r="H87">
        <f>'Dummy Variables'!Q87</f>
        <v>1</v>
      </c>
      <c r="J87" s="9">
        <v>55</v>
      </c>
      <c r="K87" s="9">
        <v>678568.64689482702</v>
      </c>
      <c r="L87" s="9">
        <v>42283.853105172981</v>
      </c>
    </row>
    <row r="88" spans="1:12">
      <c r="A88" s="9">
        <f>'Cleaned Data'!M88</f>
        <v>614596.31999999995</v>
      </c>
      <c r="B88" s="9">
        <f>'Cleaned Data'!F88</f>
        <v>3788</v>
      </c>
      <c r="C88">
        <f>'Cleaned Data'!H88</f>
        <v>11</v>
      </c>
      <c r="D88">
        <f>'Cleaned Data'!E88</f>
        <v>78231.91</v>
      </c>
      <c r="E88">
        <f>'Cleaned Data'!K88</f>
        <v>0</v>
      </c>
      <c r="F88">
        <f>'Dummy Variables'!O88</f>
        <v>0</v>
      </c>
      <c r="G88">
        <f>'Dummy Variables'!P88</f>
        <v>0</v>
      </c>
      <c r="H88">
        <f>'Dummy Variables'!Q88</f>
        <v>1</v>
      </c>
      <c r="J88" s="9">
        <v>56</v>
      </c>
      <c r="K88" s="9">
        <v>537835.31772965949</v>
      </c>
      <c r="L88" s="9">
        <v>-50370.407729659521</v>
      </c>
    </row>
    <row r="89" spans="1:12">
      <c r="A89" s="9">
        <f>'Cleaned Data'!M89</f>
        <v>450711.92</v>
      </c>
      <c r="B89" s="9">
        <f>'Cleaned Data'!F89</f>
        <v>1260</v>
      </c>
      <c r="C89">
        <f>'Cleaned Data'!H89</f>
        <v>9</v>
      </c>
      <c r="D89">
        <f>'Cleaned Data'!E89</f>
        <v>18996.32</v>
      </c>
      <c r="E89">
        <f>'Cleaned Data'!K89</f>
        <v>0</v>
      </c>
      <c r="F89">
        <f>'Dummy Variables'!O89</f>
        <v>0</v>
      </c>
      <c r="G89">
        <f>'Dummy Variables'!P89</f>
        <v>0</v>
      </c>
      <c r="H89">
        <f>'Dummy Variables'!Q89</f>
        <v>1</v>
      </c>
      <c r="J89" s="9">
        <v>57</v>
      </c>
      <c r="K89" s="9">
        <v>490154.90115868207</v>
      </c>
      <c r="L89" s="9">
        <v>27894.358841317939</v>
      </c>
    </row>
    <row r="90" spans="1:12">
      <c r="A90" s="9">
        <f>'Cleaned Data'!M90</f>
        <v>711213.46</v>
      </c>
      <c r="B90" s="9">
        <f>'Cleaned Data'!F90</f>
        <v>7024</v>
      </c>
      <c r="C90">
        <f>'Cleaned Data'!H90</f>
        <v>18</v>
      </c>
      <c r="D90">
        <f>'Cleaned Data'!E90</f>
        <v>50517.94</v>
      </c>
      <c r="E90">
        <f>'Cleaned Data'!K90</f>
        <v>1</v>
      </c>
      <c r="F90">
        <f>'Dummy Variables'!O90</f>
        <v>0</v>
      </c>
      <c r="G90">
        <f>'Dummy Variables'!P90</f>
        <v>1</v>
      </c>
      <c r="H90">
        <f>'Dummy Variables'!Q90</f>
        <v>0</v>
      </c>
      <c r="J90" s="9">
        <v>58</v>
      </c>
      <c r="K90" s="9">
        <v>539689.50514497305</v>
      </c>
      <c r="L90" s="9">
        <v>-39391.025144973071</v>
      </c>
    </row>
    <row r="91" spans="1:12">
      <c r="A91" s="9">
        <f>'Cleaned Data'!M91</f>
        <v>627171.9</v>
      </c>
      <c r="B91" s="9">
        <f>'Cleaned Data'!F91</f>
        <v>5400</v>
      </c>
      <c r="C91">
        <f>'Cleaned Data'!H91</f>
        <v>12</v>
      </c>
      <c r="D91">
        <f>'Cleaned Data'!E91</f>
        <v>141540.29</v>
      </c>
      <c r="E91">
        <f>'Cleaned Data'!K91</f>
        <v>0</v>
      </c>
      <c r="F91">
        <f>'Dummy Variables'!O91</f>
        <v>0</v>
      </c>
      <c r="G91">
        <f>'Dummy Variables'!P91</f>
        <v>1</v>
      </c>
      <c r="H91">
        <f>'Dummy Variables'!Q91</f>
        <v>0</v>
      </c>
      <c r="J91" s="9">
        <v>59</v>
      </c>
      <c r="K91" s="9">
        <v>649181.78063310659</v>
      </c>
      <c r="L91" s="9">
        <v>-31890.630633106572</v>
      </c>
    </row>
    <row r="92" spans="1:12">
      <c r="A92" s="9">
        <f>'Cleaned Data'!M92</f>
        <v>739852.58</v>
      </c>
      <c r="B92" s="9">
        <f>'Cleaned Data'!F92</f>
        <v>5988</v>
      </c>
      <c r="C92">
        <f>'Cleaned Data'!H92</f>
        <v>17</v>
      </c>
      <c r="D92">
        <f>'Cleaned Data'!E92</f>
        <v>82116.19</v>
      </c>
      <c r="E92">
        <f>'Cleaned Data'!K92</f>
        <v>0</v>
      </c>
      <c r="F92">
        <f>'Dummy Variables'!O92</f>
        <v>0</v>
      </c>
      <c r="G92">
        <f>'Dummy Variables'!P92</f>
        <v>1</v>
      </c>
      <c r="H92">
        <f>'Dummy Variables'!Q92</f>
        <v>0</v>
      </c>
      <c r="J92" s="9">
        <v>60</v>
      </c>
      <c r="K92" s="9">
        <v>591526.95504222845</v>
      </c>
      <c r="L92" s="9">
        <v>-37770.525042228401</v>
      </c>
    </row>
    <row r="93" spans="1:12">
      <c r="A93" s="9">
        <f>'Cleaned Data'!M93</f>
        <v>586307.22</v>
      </c>
      <c r="B93" s="9">
        <f>'Cleaned Data'!F93</f>
        <v>3701</v>
      </c>
      <c r="C93">
        <f>'Cleaned Data'!H93</f>
        <v>11</v>
      </c>
      <c r="D93">
        <f>'Cleaned Data'!E93</f>
        <v>31207.51</v>
      </c>
      <c r="E93">
        <f>'Cleaned Data'!K93</f>
        <v>0</v>
      </c>
      <c r="F93">
        <f>'Dummy Variables'!O93</f>
        <v>0</v>
      </c>
      <c r="G93">
        <f>'Dummy Variables'!P93</f>
        <v>1</v>
      </c>
      <c r="H93">
        <f>'Dummy Variables'!Q93</f>
        <v>0</v>
      </c>
      <c r="J93" s="9">
        <v>61</v>
      </c>
      <c r="K93" s="9">
        <v>672792.92312263092</v>
      </c>
      <c r="L93" s="9">
        <v>76766.786877369042</v>
      </c>
    </row>
    <row r="94" spans="1:12">
      <c r="A94" s="9">
        <f>'Cleaned Data'!M94</f>
        <v>585937.48</v>
      </c>
      <c r="B94" s="9">
        <f>'Cleaned Data'!F94</f>
        <v>4509</v>
      </c>
      <c r="C94">
        <f>'Cleaned Data'!H94</f>
        <v>14</v>
      </c>
      <c r="D94">
        <f>'Cleaned Data'!E94</f>
        <v>38966.589999999997</v>
      </c>
      <c r="E94">
        <f>'Cleaned Data'!K94</f>
        <v>0</v>
      </c>
      <c r="F94">
        <f>'Dummy Variables'!O94</f>
        <v>0</v>
      </c>
      <c r="G94">
        <f>'Dummy Variables'!P94</f>
        <v>0</v>
      </c>
      <c r="H94">
        <f>'Dummy Variables'!Q94</f>
        <v>1</v>
      </c>
      <c r="J94" s="9">
        <v>62</v>
      </c>
      <c r="K94" s="9">
        <v>580407.05138354236</v>
      </c>
      <c r="L94" s="9">
        <v>35559.428616457619</v>
      </c>
    </row>
    <row r="95" spans="1:12">
      <c r="A95" s="9">
        <f>'Cleaned Data'!M95</f>
        <v>753473.55</v>
      </c>
      <c r="B95" s="9">
        <f>'Cleaned Data'!F95</f>
        <v>6477</v>
      </c>
      <c r="C95">
        <f>'Cleaned Data'!H95</f>
        <v>16</v>
      </c>
      <c r="D95">
        <f>'Cleaned Data'!E95</f>
        <v>67439.3</v>
      </c>
      <c r="E95">
        <f>'Cleaned Data'!K95</f>
        <v>0</v>
      </c>
      <c r="F95">
        <f>'Dummy Variables'!O95</f>
        <v>0</v>
      </c>
      <c r="G95">
        <f>'Dummy Variables'!P95</f>
        <v>0</v>
      </c>
      <c r="H95">
        <f>'Dummy Variables'!Q95</f>
        <v>1</v>
      </c>
      <c r="J95" s="9">
        <v>63</v>
      </c>
      <c r="K95" s="9">
        <v>585891.36656787538</v>
      </c>
      <c r="L95" s="9">
        <v>-13880.166567875422</v>
      </c>
    </row>
    <row r="96" spans="1:12">
      <c r="A96" s="9">
        <f>'Cleaned Data'!M96</f>
        <v>838250.32</v>
      </c>
      <c r="B96" s="9">
        <f>'Cleaned Data'!F96</f>
        <v>7970</v>
      </c>
      <c r="C96">
        <f>'Cleaned Data'!H96</f>
        <v>17</v>
      </c>
      <c r="D96">
        <f>'Cleaned Data'!E96</f>
        <v>86421.88</v>
      </c>
      <c r="E96">
        <f>'Cleaned Data'!K96</f>
        <v>0</v>
      </c>
      <c r="F96">
        <f>'Dummy Variables'!O96</f>
        <v>0</v>
      </c>
      <c r="G96">
        <f>'Dummy Variables'!P96</f>
        <v>0</v>
      </c>
      <c r="H96">
        <f>'Dummy Variables'!Q96</f>
        <v>1</v>
      </c>
      <c r="J96" s="9">
        <v>64</v>
      </c>
      <c r="K96" s="9">
        <v>713654.37379436963</v>
      </c>
      <c r="L96" s="9">
        <v>48205.816205630312</v>
      </c>
    </row>
    <row r="97" spans="1:12">
      <c r="A97" s="9">
        <f>'Cleaned Data'!M97</f>
        <v>607898.12</v>
      </c>
      <c r="B97" s="9">
        <f>'Cleaned Data'!F97</f>
        <v>6057</v>
      </c>
      <c r="C97">
        <f>'Cleaned Data'!H97</f>
        <v>15</v>
      </c>
      <c r="D97">
        <f>'Cleaned Data'!E97</f>
        <v>9534.65</v>
      </c>
      <c r="E97">
        <f>'Cleaned Data'!K97</f>
        <v>0</v>
      </c>
      <c r="F97">
        <f>'Dummy Variables'!O97</f>
        <v>0</v>
      </c>
      <c r="G97">
        <f>'Dummy Variables'!P97</f>
        <v>0</v>
      </c>
      <c r="H97">
        <f>'Dummy Variables'!Q97</f>
        <v>1</v>
      </c>
      <c r="J97" s="9">
        <v>65</v>
      </c>
      <c r="K97" s="9">
        <v>806138.48161132762</v>
      </c>
      <c r="L97" s="9">
        <v>-21635.801611327566</v>
      </c>
    </row>
    <row r="98" spans="1:12">
      <c r="A98" s="9">
        <f>'Cleaned Data'!M98</f>
        <v>691113.62</v>
      </c>
      <c r="B98" s="9">
        <f>'Cleaned Data'!F98</f>
        <v>6394</v>
      </c>
      <c r="C98">
        <f>'Cleaned Data'!H98</f>
        <v>19</v>
      </c>
      <c r="D98">
        <f>'Cleaned Data'!E98</f>
        <v>61132.07</v>
      </c>
      <c r="E98">
        <f>'Cleaned Data'!K98</f>
        <v>0</v>
      </c>
      <c r="F98">
        <f>'Dummy Variables'!O98</f>
        <v>0</v>
      </c>
      <c r="G98">
        <f>'Dummy Variables'!P98</f>
        <v>0</v>
      </c>
      <c r="H98">
        <f>'Dummy Variables'!Q98</f>
        <v>1</v>
      </c>
      <c r="J98" s="9">
        <v>66</v>
      </c>
      <c r="K98" s="9">
        <v>724669.54605998262</v>
      </c>
      <c r="L98" s="9">
        <v>-7527.9960599825718</v>
      </c>
    </row>
    <row r="99" spans="1:12">
      <c r="A99" s="9">
        <f>'Cleaned Data'!M99</f>
        <v>735509.4</v>
      </c>
      <c r="B99" s="9">
        <f>'Cleaned Data'!F99</f>
        <v>5150</v>
      </c>
      <c r="C99">
        <f>'Cleaned Data'!H99</f>
        <v>13</v>
      </c>
      <c r="D99">
        <f>'Cleaned Data'!E99</f>
        <v>78839.39</v>
      </c>
      <c r="E99">
        <f>'Cleaned Data'!K99</f>
        <v>0</v>
      </c>
      <c r="F99">
        <f>'Dummy Variables'!O99</f>
        <v>0</v>
      </c>
      <c r="G99">
        <f>'Dummy Variables'!P99</f>
        <v>0</v>
      </c>
      <c r="H99">
        <f>'Dummy Variables'!Q99</f>
        <v>1</v>
      </c>
      <c r="J99" s="9">
        <v>67</v>
      </c>
      <c r="K99" s="9">
        <v>823060.64702746726</v>
      </c>
      <c r="L99" s="9">
        <v>-137681.5670274673</v>
      </c>
    </row>
    <row r="100" spans="1:12">
      <c r="A100" s="9">
        <f>'Cleaned Data'!M100</f>
        <v>605775.32999999996</v>
      </c>
      <c r="B100" s="9">
        <f>'Cleaned Data'!F100</f>
        <v>4712</v>
      </c>
      <c r="C100">
        <f>'Cleaned Data'!H100</f>
        <v>15</v>
      </c>
      <c r="D100">
        <f>'Cleaned Data'!E100</f>
        <v>38752.800000000003</v>
      </c>
      <c r="E100">
        <f>'Cleaned Data'!K100</f>
        <v>0</v>
      </c>
      <c r="F100">
        <f>'Dummy Variables'!O100</f>
        <v>0</v>
      </c>
      <c r="G100">
        <f>'Dummy Variables'!P100</f>
        <v>0</v>
      </c>
      <c r="H100">
        <f>'Dummy Variables'!Q100</f>
        <v>1</v>
      </c>
      <c r="J100" s="9">
        <v>68</v>
      </c>
      <c r="K100" s="9">
        <v>722410.19179881946</v>
      </c>
      <c r="L100" s="9">
        <v>18086.458201180561</v>
      </c>
    </row>
    <row r="101" spans="1:12">
      <c r="A101" s="9">
        <f>'Cleaned Data'!M101</f>
        <v>675177.68</v>
      </c>
      <c r="B101" s="9">
        <f>'Cleaned Data'!F101</f>
        <v>5281</v>
      </c>
      <c r="C101">
        <f>'Cleaned Data'!H101</f>
        <v>11</v>
      </c>
      <c r="D101">
        <f>'Cleaned Data'!E101</f>
        <v>55101.1</v>
      </c>
      <c r="E101">
        <f>'Cleaned Data'!K101</f>
        <v>0</v>
      </c>
      <c r="F101">
        <f>'Dummy Variables'!O101</f>
        <v>0</v>
      </c>
      <c r="G101">
        <f>'Dummy Variables'!P101</f>
        <v>0</v>
      </c>
      <c r="H101">
        <f>'Dummy Variables'!Q101</f>
        <v>1</v>
      </c>
      <c r="J101" s="9">
        <v>69</v>
      </c>
      <c r="K101" s="9">
        <v>594390.49425679585</v>
      </c>
      <c r="L101" s="9">
        <v>67536.645743204164</v>
      </c>
    </row>
    <row r="102" spans="1:12">
      <c r="A102" s="9">
        <f>'Cleaned Data'!M102</f>
        <v>635181.35</v>
      </c>
      <c r="B102" s="9">
        <f>'Cleaned Data'!F102</f>
        <v>3642</v>
      </c>
      <c r="C102">
        <f>'Cleaned Data'!H102</f>
        <v>12</v>
      </c>
      <c r="D102">
        <f>'Cleaned Data'!E102</f>
        <v>53084.76</v>
      </c>
      <c r="E102">
        <f>'Cleaned Data'!K102</f>
        <v>0</v>
      </c>
      <c r="F102">
        <f>'Dummy Variables'!O102</f>
        <v>0</v>
      </c>
      <c r="G102">
        <f>'Dummy Variables'!P102</f>
        <v>0</v>
      </c>
      <c r="H102">
        <f>'Dummy Variables'!Q102</f>
        <v>0</v>
      </c>
      <c r="J102" s="9">
        <v>70</v>
      </c>
      <c r="K102" s="9">
        <v>521041.72489798069</v>
      </c>
      <c r="L102" s="9">
        <v>-41991.22489798069</v>
      </c>
    </row>
    <row r="103" spans="1:12">
      <c r="A103" s="9">
        <f>'Cleaned Data'!M103</f>
        <v>586626.93999999994</v>
      </c>
      <c r="B103" s="9">
        <f>'Cleaned Data'!F103</f>
        <v>4373</v>
      </c>
      <c r="C103">
        <f>'Cleaned Data'!H103</f>
        <v>14</v>
      </c>
      <c r="D103">
        <f>'Cleaned Data'!E103</f>
        <v>63101.59</v>
      </c>
      <c r="E103">
        <f>'Cleaned Data'!K103</f>
        <v>0</v>
      </c>
      <c r="F103">
        <f>'Dummy Variables'!O103</f>
        <v>0</v>
      </c>
      <c r="G103">
        <f>'Dummy Variables'!P103</f>
        <v>0</v>
      </c>
      <c r="H103">
        <f>'Dummy Variables'!Q103</f>
        <v>0</v>
      </c>
      <c r="J103" s="9">
        <v>71</v>
      </c>
      <c r="K103" s="9">
        <v>549330.50973791827</v>
      </c>
      <c r="L103" s="9">
        <v>55693.360262081726</v>
      </c>
    </row>
    <row r="104" spans="1:12">
      <c r="A104" s="9">
        <f>'Cleaned Data'!M104</f>
        <v>740102.64</v>
      </c>
      <c r="B104" s="9">
        <f>'Cleaned Data'!F104</f>
        <v>6832</v>
      </c>
      <c r="C104">
        <f>'Cleaned Data'!H104</f>
        <v>14</v>
      </c>
      <c r="D104">
        <f>'Cleaned Data'!E104</f>
        <v>90084.4</v>
      </c>
      <c r="E104">
        <f>'Cleaned Data'!K104</f>
        <v>1</v>
      </c>
      <c r="F104">
        <f>'Dummy Variables'!O104</f>
        <v>0</v>
      </c>
      <c r="G104">
        <f>'Dummy Variables'!P104</f>
        <v>0</v>
      </c>
      <c r="H104">
        <f>'Dummy Variables'!Q104</f>
        <v>0</v>
      </c>
      <c r="J104" s="9">
        <v>72</v>
      </c>
      <c r="K104" s="9">
        <v>621790.78493745532</v>
      </c>
      <c r="L104" s="9">
        <v>52983.305062544649</v>
      </c>
    </row>
    <row r="105" spans="1:12">
      <c r="A105" s="9">
        <f>'Cleaned Data'!M105</f>
        <v>625514.04</v>
      </c>
      <c r="B105" s="9">
        <f>'Cleaned Data'!F105</f>
        <v>2414</v>
      </c>
      <c r="C105">
        <f>'Cleaned Data'!H105</f>
        <v>7</v>
      </c>
      <c r="D105">
        <f>'Cleaned Data'!E105</f>
        <v>32266.639999999999</v>
      </c>
      <c r="E105">
        <f>'Cleaned Data'!K105</f>
        <v>0</v>
      </c>
      <c r="F105">
        <f>'Dummy Variables'!O105</f>
        <v>0</v>
      </c>
      <c r="G105">
        <f>'Dummy Variables'!P105</f>
        <v>0</v>
      </c>
      <c r="H105">
        <f>'Dummy Variables'!Q105</f>
        <v>0</v>
      </c>
      <c r="J105" s="9">
        <v>73</v>
      </c>
      <c r="K105" s="9">
        <v>626692.07983183744</v>
      </c>
      <c r="L105" s="9">
        <v>-10622.669831837411</v>
      </c>
    </row>
    <row r="106" spans="1:12">
      <c r="A106" s="9">
        <f>'Cleaned Data'!M106</f>
        <v>727227.2</v>
      </c>
      <c r="B106" s="9">
        <f>'Cleaned Data'!F106</f>
        <v>7374</v>
      </c>
      <c r="C106">
        <f>'Cleaned Data'!H106</f>
        <v>21</v>
      </c>
      <c r="D106">
        <f>'Cleaned Data'!E106</f>
        <v>57919.07</v>
      </c>
      <c r="E106">
        <f>'Cleaned Data'!K106</f>
        <v>0</v>
      </c>
      <c r="F106">
        <f>'Dummy Variables'!O106</f>
        <v>0</v>
      </c>
      <c r="G106">
        <f>'Dummy Variables'!P106</f>
        <v>0</v>
      </c>
      <c r="H106">
        <f>'Dummy Variables'!Q106</f>
        <v>1</v>
      </c>
      <c r="J106" s="9">
        <v>74</v>
      </c>
      <c r="K106" s="9">
        <v>675604.54961491586</v>
      </c>
      <c r="L106" s="9">
        <v>-44774.609614915913</v>
      </c>
    </row>
    <row r="107" spans="1:12">
      <c r="A107" s="9">
        <f>'Cleaned Data'!M107</f>
        <v>783797.89</v>
      </c>
      <c r="B107" s="9">
        <f>'Cleaned Data'!F107</f>
        <v>8739</v>
      </c>
      <c r="C107">
        <f>'Cleaned Data'!H107</f>
        <v>21</v>
      </c>
      <c r="D107">
        <f>'Cleaned Data'!E107</f>
        <v>74679.350000000006</v>
      </c>
      <c r="E107">
        <f>'Cleaned Data'!K107</f>
        <v>0</v>
      </c>
      <c r="F107">
        <f>'Dummy Variables'!O107</f>
        <v>0</v>
      </c>
      <c r="G107">
        <f>'Dummy Variables'!P107</f>
        <v>0</v>
      </c>
      <c r="H107">
        <f>'Dummy Variables'!Q107</f>
        <v>1</v>
      </c>
      <c r="J107" s="9">
        <v>75</v>
      </c>
      <c r="K107" s="9">
        <v>708357.14041211712</v>
      </c>
      <c r="L107" s="9">
        <v>79730.539587882929</v>
      </c>
    </row>
    <row r="108" spans="1:12">
      <c r="A108" s="9">
        <f>'Cleaned Data'!M108</f>
        <v>795153.84</v>
      </c>
      <c r="B108" s="9">
        <f>'Cleaned Data'!F108</f>
        <v>6992</v>
      </c>
      <c r="C108">
        <f>'Cleaned Data'!H108</f>
        <v>14</v>
      </c>
      <c r="D108">
        <f>'Cleaned Data'!E108</f>
        <v>64294.23</v>
      </c>
      <c r="E108">
        <f>'Cleaned Data'!K108</f>
        <v>0</v>
      </c>
      <c r="F108">
        <f>'Dummy Variables'!O108</f>
        <v>0</v>
      </c>
      <c r="G108">
        <f>'Dummy Variables'!P108</f>
        <v>0</v>
      </c>
      <c r="H108">
        <f>'Dummy Variables'!Q108</f>
        <v>1</v>
      </c>
      <c r="J108" s="9">
        <v>76</v>
      </c>
      <c r="K108" s="9">
        <v>725510.31701328373</v>
      </c>
      <c r="L108" s="9">
        <v>-44669.95701328374</v>
      </c>
    </row>
    <row r="109" spans="1:12">
      <c r="A109" s="9">
        <f>'Cleaned Data'!M109</f>
        <v>665594.93999999994</v>
      </c>
      <c r="B109" s="9">
        <f>'Cleaned Data'!F109</f>
        <v>7107</v>
      </c>
      <c r="C109">
        <f>'Cleaned Data'!H109</f>
        <v>15</v>
      </c>
      <c r="D109">
        <f>'Cleaned Data'!E109</f>
        <v>31042.03</v>
      </c>
      <c r="E109">
        <f>'Cleaned Data'!K109</f>
        <v>0</v>
      </c>
      <c r="F109">
        <f>'Dummy Variables'!O109</f>
        <v>0</v>
      </c>
      <c r="G109">
        <f>'Dummy Variables'!P109</f>
        <v>0</v>
      </c>
      <c r="H109">
        <f>'Dummy Variables'!Q109</f>
        <v>1</v>
      </c>
      <c r="J109" s="9">
        <v>77</v>
      </c>
      <c r="K109" s="9">
        <v>702081.21809728676</v>
      </c>
      <c r="L109" s="9">
        <v>-58423.748097286792</v>
      </c>
    </row>
    <row r="110" spans="1:12">
      <c r="A110" s="9">
        <f>'Cleaned Data'!M110</f>
        <v>709478.39</v>
      </c>
      <c r="B110" s="9">
        <f>'Cleaned Data'!F110</f>
        <v>6975</v>
      </c>
      <c r="C110">
        <f>'Cleaned Data'!H110</f>
        <v>20</v>
      </c>
      <c r="D110">
        <f>'Cleaned Data'!E110</f>
        <v>75265.02</v>
      </c>
      <c r="E110">
        <f>'Cleaned Data'!K110</f>
        <v>1</v>
      </c>
      <c r="F110">
        <f>'Dummy Variables'!O110</f>
        <v>0</v>
      </c>
      <c r="G110">
        <f>'Dummy Variables'!P110</f>
        <v>0</v>
      </c>
      <c r="H110">
        <f>'Dummy Variables'!Q110</f>
        <v>0</v>
      </c>
      <c r="J110" s="9">
        <v>78</v>
      </c>
      <c r="K110" s="9">
        <v>659996.27557650174</v>
      </c>
      <c r="L110" s="9">
        <v>31116.324423498241</v>
      </c>
    </row>
    <row r="111" spans="1:12">
      <c r="A111" s="9">
        <f>'Cleaned Data'!M111</f>
        <v>664162.49</v>
      </c>
      <c r="B111" s="9">
        <f>'Cleaned Data'!F111</f>
        <v>5493</v>
      </c>
      <c r="C111">
        <f>'Cleaned Data'!H111</f>
        <v>13</v>
      </c>
      <c r="D111">
        <f>'Cleaned Data'!E111</f>
        <v>69411.7</v>
      </c>
      <c r="E111">
        <f>'Cleaned Data'!K111</f>
        <v>0</v>
      </c>
      <c r="F111">
        <f>'Dummy Variables'!O111</f>
        <v>0</v>
      </c>
      <c r="G111">
        <f>'Dummy Variables'!P111</f>
        <v>0</v>
      </c>
      <c r="H111">
        <f>'Dummy Variables'!Q111</f>
        <v>0</v>
      </c>
      <c r="J111" s="9">
        <v>79</v>
      </c>
      <c r="K111" s="9">
        <v>742624.45221234916</v>
      </c>
      <c r="L111" s="9">
        <v>34297.717787650879</v>
      </c>
    </row>
    <row r="112" spans="1:12">
      <c r="A112" s="9">
        <f>'Cleaned Data'!M112</f>
        <v>633494.21</v>
      </c>
      <c r="B112" s="9">
        <f>'Cleaned Data'!F112</f>
        <v>5686</v>
      </c>
      <c r="C112">
        <f>'Cleaned Data'!H112</f>
        <v>13</v>
      </c>
      <c r="D112">
        <f>'Cleaned Data'!E112</f>
        <v>51056.15</v>
      </c>
      <c r="E112">
        <f>'Cleaned Data'!K112</f>
        <v>0</v>
      </c>
      <c r="F112">
        <f>'Dummy Variables'!O112</f>
        <v>0</v>
      </c>
      <c r="G112">
        <f>'Dummy Variables'!P112</f>
        <v>0</v>
      </c>
      <c r="H112">
        <f>'Dummy Variables'!Q112</f>
        <v>0</v>
      </c>
      <c r="J112" s="9">
        <v>80</v>
      </c>
      <c r="K112" s="9">
        <v>691259.90917100245</v>
      </c>
      <c r="L112" s="9">
        <v>-54698.569171002484</v>
      </c>
    </row>
    <row r="113" spans="1:12">
      <c r="A113" s="9">
        <f>'Cleaned Data'!M113</f>
        <v>713611.16</v>
      </c>
      <c r="B113" s="9">
        <f>'Cleaned Data'!F113</f>
        <v>4063</v>
      </c>
      <c r="C113">
        <f>'Cleaned Data'!H113</f>
        <v>12</v>
      </c>
      <c r="D113">
        <f>'Cleaned Data'!E113</f>
        <v>52758.01</v>
      </c>
      <c r="E113">
        <f>'Cleaned Data'!K113</f>
        <v>0</v>
      </c>
      <c r="F113">
        <f>'Dummy Variables'!O113</f>
        <v>0</v>
      </c>
      <c r="G113">
        <f>'Dummy Variables'!P113</f>
        <v>0</v>
      </c>
      <c r="H113">
        <f>'Dummy Variables'!Q113</f>
        <v>0</v>
      </c>
      <c r="J113" s="9">
        <v>81</v>
      </c>
      <c r="K113" s="9">
        <v>654678.0697207147</v>
      </c>
      <c r="L113" s="9">
        <v>-33308.489720714744</v>
      </c>
    </row>
    <row r="114" spans="1:12">
      <c r="A114" s="9">
        <f>'Cleaned Data'!M114</f>
        <v>778397.97</v>
      </c>
      <c r="B114" s="9">
        <f>'Cleaned Data'!F114</f>
        <v>8966</v>
      </c>
      <c r="C114">
        <f>'Cleaned Data'!H114</f>
        <v>22</v>
      </c>
      <c r="D114">
        <f>'Cleaned Data'!E114</f>
        <v>61426.04</v>
      </c>
      <c r="E114">
        <f>'Cleaned Data'!K114</f>
        <v>0</v>
      </c>
      <c r="F114">
        <f>'Dummy Variables'!O114</f>
        <v>0</v>
      </c>
      <c r="G114">
        <f>'Dummy Variables'!P114</f>
        <v>0</v>
      </c>
      <c r="H114">
        <f>'Dummy Variables'!Q114</f>
        <v>1</v>
      </c>
      <c r="J114" s="9">
        <v>82</v>
      </c>
      <c r="K114" s="9">
        <v>614743.86844132678</v>
      </c>
      <c r="L114" s="9">
        <v>67464.141558673233</v>
      </c>
    </row>
    <row r="115" spans="1:12">
      <c r="A115" s="9">
        <f>'Cleaned Data'!M115</f>
        <v>873380.02</v>
      </c>
      <c r="B115" s="9">
        <f>'Cleaned Data'!F115</f>
        <v>9489</v>
      </c>
      <c r="C115">
        <f>'Cleaned Data'!H115</f>
        <v>22</v>
      </c>
      <c r="D115">
        <f>'Cleaned Data'!E115</f>
        <v>80176.34</v>
      </c>
      <c r="E115">
        <f>'Cleaned Data'!K115</f>
        <v>0</v>
      </c>
      <c r="F115">
        <f>'Dummy Variables'!O115</f>
        <v>0</v>
      </c>
      <c r="G115">
        <f>'Dummy Variables'!P115</f>
        <v>0</v>
      </c>
      <c r="H115">
        <f>'Dummy Variables'!Q115</f>
        <v>1</v>
      </c>
      <c r="J115" s="9">
        <v>83</v>
      </c>
      <c r="K115" s="9">
        <v>645707.09269105981</v>
      </c>
      <c r="L115" s="9">
        <v>81534.76730894018</v>
      </c>
    </row>
    <row r="116" spans="1:12">
      <c r="A116" s="9">
        <f>'Cleaned Data'!M116</f>
        <v>697287.9</v>
      </c>
      <c r="B116" s="9">
        <f>'Cleaned Data'!F116</f>
        <v>9225</v>
      </c>
      <c r="C116">
        <f>'Cleaned Data'!H116</f>
        <v>23</v>
      </c>
      <c r="D116">
        <f>'Cleaned Data'!E116</f>
        <v>33605.18</v>
      </c>
      <c r="E116">
        <f>'Cleaned Data'!K116</f>
        <v>0</v>
      </c>
      <c r="F116">
        <f>'Dummy Variables'!O116</f>
        <v>0</v>
      </c>
      <c r="G116">
        <f>'Dummy Variables'!P116</f>
        <v>0</v>
      </c>
      <c r="H116">
        <f>'Dummy Variables'!Q116</f>
        <v>1</v>
      </c>
      <c r="J116" s="9">
        <v>84</v>
      </c>
      <c r="K116" s="9">
        <v>556531.2695909621</v>
      </c>
      <c r="L116" s="9">
        <v>12569.510409037932</v>
      </c>
    </row>
    <row r="117" spans="1:12">
      <c r="A117" s="9">
        <f>'Cleaned Data'!M117</f>
        <v>718074.79</v>
      </c>
      <c r="B117" s="9">
        <f>'Cleaned Data'!F117</f>
        <v>9249</v>
      </c>
      <c r="C117">
        <f>'Cleaned Data'!H117</f>
        <v>23</v>
      </c>
      <c r="D117">
        <f>'Cleaned Data'!E117</f>
        <v>25990.54</v>
      </c>
      <c r="E117">
        <f>'Cleaned Data'!K117</f>
        <v>0</v>
      </c>
      <c r="F117">
        <f>'Dummy Variables'!O117</f>
        <v>0</v>
      </c>
      <c r="G117">
        <f>'Dummy Variables'!P117</f>
        <v>0</v>
      </c>
      <c r="H117">
        <f>'Dummy Variables'!Q117</f>
        <v>1</v>
      </c>
      <c r="J117" s="9">
        <v>85</v>
      </c>
      <c r="K117" s="9">
        <v>562010.30907430861</v>
      </c>
      <c r="L117" s="9">
        <v>12425.98092569143</v>
      </c>
    </row>
    <row r="118" spans="1:12">
      <c r="A118" s="9">
        <f>'Cleaned Data'!M118</f>
        <v>714942.43</v>
      </c>
      <c r="B118" s="9">
        <f>'Cleaned Data'!F118</f>
        <v>7821</v>
      </c>
      <c r="C118">
        <f>'Cleaned Data'!H118</f>
        <v>17</v>
      </c>
      <c r="D118">
        <f>'Cleaned Data'!E118</f>
        <v>43685.14</v>
      </c>
      <c r="E118">
        <f>'Cleaned Data'!K118</f>
        <v>1</v>
      </c>
      <c r="F118">
        <f>'Dummy Variables'!O118</f>
        <v>0</v>
      </c>
      <c r="G118">
        <f>'Dummy Variables'!P118</f>
        <v>0</v>
      </c>
      <c r="H118">
        <f>'Dummy Variables'!Q118</f>
        <v>1</v>
      </c>
      <c r="J118" s="9">
        <v>86</v>
      </c>
      <c r="K118" s="9">
        <v>635579.40448815236</v>
      </c>
      <c r="L118" s="9">
        <v>-23812.684488152387</v>
      </c>
    </row>
    <row r="119" spans="1:12">
      <c r="A119" s="9">
        <f>'Cleaned Data'!M119</f>
        <v>820519.04</v>
      </c>
      <c r="B119" s="9">
        <f>'Cleaned Data'!F119</f>
        <v>8434</v>
      </c>
      <c r="C119">
        <f>'Cleaned Data'!H119</f>
        <v>19</v>
      </c>
      <c r="D119">
        <f>'Cleaned Data'!E119</f>
        <v>57360.01</v>
      </c>
      <c r="E119">
        <f>'Cleaned Data'!K119</f>
        <v>0</v>
      </c>
      <c r="F119">
        <f>'Dummy Variables'!O119</f>
        <v>0</v>
      </c>
      <c r="G119">
        <f>'Dummy Variables'!P119</f>
        <v>0</v>
      </c>
      <c r="H119">
        <f>'Dummy Variables'!Q119</f>
        <v>1</v>
      </c>
      <c r="J119" s="9">
        <v>87</v>
      </c>
      <c r="K119" s="9">
        <v>617641.37201255979</v>
      </c>
      <c r="L119" s="9">
        <v>-3045.0520125598414</v>
      </c>
    </row>
    <row r="120" spans="1:12">
      <c r="A120" s="9">
        <f>'Cleaned Data'!M120</f>
        <v>684217.32</v>
      </c>
      <c r="B120" s="9">
        <f>'Cleaned Data'!F120</f>
        <v>8512</v>
      </c>
      <c r="C120">
        <f>'Cleaned Data'!H120</f>
        <v>18</v>
      </c>
      <c r="D120">
        <f>'Cleaned Data'!E120</f>
        <v>42415.47</v>
      </c>
      <c r="E120">
        <f>'Cleaned Data'!K120</f>
        <v>0</v>
      </c>
      <c r="F120">
        <f>'Dummy Variables'!O120</f>
        <v>0</v>
      </c>
      <c r="G120">
        <f>'Dummy Variables'!P120</f>
        <v>0</v>
      </c>
      <c r="H120">
        <f>'Dummy Variables'!Q120</f>
        <v>1</v>
      </c>
      <c r="J120" s="9">
        <v>88</v>
      </c>
      <c r="K120" s="9">
        <v>471611.37442696944</v>
      </c>
      <c r="L120" s="9">
        <v>-20899.45442696946</v>
      </c>
    </row>
    <row r="121" spans="1:12">
      <c r="A121" s="9">
        <f>'Cleaned Data'!M121</f>
        <v>735480.19</v>
      </c>
      <c r="B121" s="9">
        <f>'Cleaned Data'!F121</f>
        <v>7816</v>
      </c>
      <c r="C121">
        <f>'Cleaned Data'!H121</f>
        <v>19</v>
      </c>
      <c r="D121">
        <f>'Cleaned Data'!E121</f>
        <v>54968.98</v>
      </c>
      <c r="E121">
        <f>'Cleaned Data'!K121</f>
        <v>0</v>
      </c>
      <c r="F121">
        <f>'Dummy Variables'!O121</f>
        <v>0</v>
      </c>
      <c r="G121">
        <f>'Dummy Variables'!P121</f>
        <v>0</v>
      </c>
      <c r="H121">
        <f>'Dummy Variables'!Q121</f>
        <v>1</v>
      </c>
      <c r="J121" s="9">
        <v>89</v>
      </c>
      <c r="K121" s="9">
        <v>712278.31860142516</v>
      </c>
      <c r="L121" s="9">
        <v>-1064.8586014251923</v>
      </c>
    </row>
    <row r="122" spans="1:12">
      <c r="A122" s="9">
        <f>'Cleaned Data'!M122</f>
        <v>509484.81</v>
      </c>
      <c r="B122" s="9">
        <f>'Cleaned Data'!F122</f>
        <v>3853</v>
      </c>
      <c r="C122">
        <f>'Cleaned Data'!H122</f>
        <v>13</v>
      </c>
      <c r="D122">
        <f>'Cleaned Data'!E122</f>
        <v>43896.13</v>
      </c>
      <c r="E122">
        <f>'Cleaned Data'!K122</f>
        <v>0</v>
      </c>
      <c r="F122">
        <f>'Dummy Variables'!O122</f>
        <v>1</v>
      </c>
      <c r="G122">
        <f>'Dummy Variables'!P122</f>
        <v>0</v>
      </c>
      <c r="H122">
        <f>'Dummy Variables'!Q122</f>
        <v>0</v>
      </c>
      <c r="J122" s="9">
        <v>90</v>
      </c>
      <c r="K122" s="9">
        <v>742059.25748978893</v>
      </c>
      <c r="L122" s="9">
        <v>-114887.3574897889</v>
      </c>
    </row>
    <row r="123" spans="1:12">
      <c r="A123" s="9">
        <f>'Cleaned Data'!M123</f>
        <v>654317.09</v>
      </c>
      <c r="B123" s="9">
        <f>'Cleaned Data'!F123</f>
        <v>3694</v>
      </c>
      <c r="C123">
        <f>'Cleaned Data'!H123</f>
        <v>14</v>
      </c>
      <c r="D123">
        <f>'Cleaned Data'!E123</f>
        <v>83044.17</v>
      </c>
      <c r="E123">
        <f>'Cleaned Data'!K123</f>
        <v>0</v>
      </c>
      <c r="F123">
        <f>'Dummy Variables'!O123</f>
        <v>1</v>
      </c>
      <c r="G123">
        <f>'Dummy Variables'!P123</f>
        <v>0</v>
      </c>
      <c r="H123">
        <f>'Dummy Variables'!Q123</f>
        <v>0</v>
      </c>
      <c r="J123" s="9">
        <v>91</v>
      </c>
      <c r="K123" s="9">
        <v>703279.37115775014</v>
      </c>
      <c r="L123" s="9">
        <v>36573.20884224982</v>
      </c>
    </row>
    <row r="124" spans="1:12">
      <c r="A124" s="9">
        <f>'Cleaned Data'!M124</f>
        <v>557487.26</v>
      </c>
      <c r="B124" s="9">
        <f>'Cleaned Data'!F124</f>
        <v>4423</v>
      </c>
      <c r="C124">
        <f>'Cleaned Data'!H124</f>
        <v>15</v>
      </c>
      <c r="D124">
        <f>'Cleaned Data'!E124</f>
        <v>48396.13</v>
      </c>
      <c r="E124">
        <f>'Cleaned Data'!K124</f>
        <v>0</v>
      </c>
      <c r="F124">
        <f>'Dummy Variables'!O124</f>
        <v>1</v>
      </c>
      <c r="G124">
        <f>'Dummy Variables'!P124</f>
        <v>0</v>
      </c>
      <c r="H124">
        <f>'Dummy Variables'!Q124</f>
        <v>0</v>
      </c>
      <c r="J124" s="9">
        <v>92</v>
      </c>
      <c r="K124" s="9">
        <v>564537.45108143147</v>
      </c>
      <c r="L124" s="9">
        <v>21769.768918568501</v>
      </c>
    </row>
    <row r="125" spans="1:12">
      <c r="A125" s="9">
        <f>'Cleaned Data'!M125</f>
        <v>441275.42</v>
      </c>
      <c r="B125" s="9">
        <f>'Cleaned Data'!F125</f>
        <v>1906</v>
      </c>
      <c r="C125">
        <f>'Cleaned Data'!H125</f>
        <v>10</v>
      </c>
      <c r="D125">
        <f>'Cleaned Data'!E125</f>
        <v>19063.48</v>
      </c>
      <c r="E125">
        <f>'Cleaned Data'!K125</f>
        <v>0</v>
      </c>
      <c r="F125">
        <f>'Dummy Variables'!O125</f>
        <v>1</v>
      </c>
      <c r="G125">
        <f>'Dummy Variables'!P125</f>
        <v>0</v>
      </c>
      <c r="H125">
        <f>'Dummy Variables'!Q125</f>
        <v>0</v>
      </c>
      <c r="J125" s="9">
        <v>93</v>
      </c>
      <c r="K125" s="9">
        <v>601056.23700655589</v>
      </c>
      <c r="L125" s="9">
        <v>-15118.757006555912</v>
      </c>
    </row>
    <row r="126" spans="1:12">
      <c r="A126" s="9">
        <f>'Cleaned Data'!M126</f>
        <v>914544.17</v>
      </c>
      <c r="B126" s="9">
        <f>'Cleaned Data'!F126</f>
        <v>10396</v>
      </c>
      <c r="C126">
        <f>'Cleaned Data'!H126</f>
        <v>25</v>
      </c>
      <c r="D126">
        <f>'Cleaned Data'!E126</f>
        <v>61541.21</v>
      </c>
      <c r="E126">
        <f>'Cleaned Data'!K126</f>
        <v>1</v>
      </c>
      <c r="F126">
        <f>'Dummy Variables'!O126</f>
        <v>0</v>
      </c>
      <c r="G126">
        <f>'Dummy Variables'!P126</f>
        <v>1</v>
      </c>
      <c r="H126">
        <f>'Dummy Variables'!Q126</f>
        <v>0</v>
      </c>
      <c r="J126" s="9">
        <v>94</v>
      </c>
      <c r="K126" s="9">
        <v>695705.71573640569</v>
      </c>
      <c r="L126" s="9">
        <v>57767.834263594355</v>
      </c>
    </row>
    <row r="127" spans="1:12">
      <c r="A127" s="9">
        <f>'Cleaned Data'!M127</f>
        <v>842439.67</v>
      </c>
      <c r="B127" s="9">
        <f>'Cleaned Data'!F127</f>
        <v>11076</v>
      </c>
      <c r="C127">
        <f>'Cleaned Data'!H127</f>
        <v>27</v>
      </c>
      <c r="D127">
        <f>'Cleaned Data'!E127</f>
        <v>44747</v>
      </c>
      <c r="E127">
        <f>'Cleaned Data'!K127</f>
        <v>0</v>
      </c>
      <c r="F127">
        <f>'Dummy Variables'!O127</f>
        <v>0</v>
      </c>
      <c r="G127">
        <f>'Dummy Variables'!P127</f>
        <v>1</v>
      </c>
      <c r="H127">
        <f>'Dummy Variables'!Q127</f>
        <v>0</v>
      </c>
      <c r="J127" s="9">
        <v>95</v>
      </c>
      <c r="K127" s="9">
        <v>763339.38573308999</v>
      </c>
      <c r="L127" s="9">
        <v>74910.934266909957</v>
      </c>
    </row>
    <row r="128" spans="1:12">
      <c r="A128" s="9">
        <f>'Cleaned Data'!M128</f>
        <v>842157.92</v>
      </c>
      <c r="B128" s="9">
        <f>'Cleaned Data'!F128</f>
        <v>9574</v>
      </c>
      <c r="C128">
        <f>'Cleaned Data'!H128</f>
        <v>20</v>
      </c>
      <c r="D128">
        <f>'Cleaned Data'!E128</f>
        <v>56517.9</v>
      </c>
      <c r="E128">
        <f>'Cleaned Data'!K128</f>
        <v>1</v>
      </c>
      <c r="F128">
        <f>'Dummy Variables'!O128</f>
        <v>0</v>
      </c>
      <c r="G128">
        <f>'Dummy Variables'!P128</f>
        <v>1</v>
      </c>
      <c r="H128">
        <f>'Dummy Variables'!Q128</f>
        <v>0</v>
      </c>
      <c r="J128" s="9">
        <v>96</v>
      </c>
      <c r="K128" s="9">
        <v>615260.71881983022</v>
      </c>
      <c r="L128" s="9">
        <v>-7362.5988198302221</v>
      </c>
    </row>
    <row r="129" spans="1:12">
      <c r="A129" s="9">
        <f>'Cleaned Data'!M129</f>
        <v>697155.3</v>
      </c>
      <c r="B129" s="9">
        <f>'Cleaned Data'!F129</f>
        <v>8221</v>
      </c>
      <c r="C129">
        <f>'Cleaned Data'!H129</f>
        <v>19</v>
      </c>
      <c r="D129">
        <f>'Cleaned Data'!E129</f>
        <v>37828.5</v>
      </c>
      <c r="E129">
        <f>'Cleaned Data'!K129</f>
        <v>0</v>
      </c>
      <c r="F129">
        <f>'Dummy Variables'!O129</f>
        <v>0</v>
      </c>
      <c r="G129">
        <f>'Dummy Variables'!P129</f>
        <v>1</v>
      </c>
      <c r="H129">
        <f>'Dummy Variables'!Q129</f>
        <v>0</v>
      </c>
      <c r="J129" s="9">
        <v>97</v>
      </c>
      <c r="K129" s="9">
        <v>693033.08330314606</v>
      </c>
      <c r="L129" s="9">
        <v>-1919.4633031460689</v>
      </c>
    </row>
    <row r="130" spans="1:12">
      <c r="A130" s="9">
        <f>'Cleaned Data'!M130</f>
        <v>849018.3</v>
      </c>
      <c r="B130" s="9">
        <f>'Cleaned Data'!F130</f>
        <v>10618</v>
      </c>
      <c r="C130">
        <f>'Cleaned Data'!H130</f>
        <v>27</v>
      </c>
      <c r="D130">
        <f>'Cleaned Data'!E130</f>
        <v>66250.53</v>
      </c>
      <c r="E130">
        <f>'Cleaned Data'!K130</f>
        <v>1</v>
      </c>
      <c r="F130">
        <f>'Dummy Variables'!O130</f>
        <v>0</v>
      </c>
      <c r="G130">
        <f>'Dummy Variables'!P130</f>
        <v>0</v>
      </c>
      <c r="H130">
        <f>'Dummy Variables'!Q130</f>
        <v>0</v>
      </c>
      <c r="J130" s="9">
        <v>98</v>
      </c>
      <c r="K130" s="9">
        <v>662856.81165938533</v>
      </c>
      <c r="L130" s="9">
        <v>72652.58834061469</v>
      </c>
    </row>
    <row r="131" spans="1:12">
      <c r="A131" s="9">
        <f>'Cleaned Data'!M131</f>
        <v>801830.35</v>
      </c>
      <c r="B131" s="9">
        <f>'Cleaned Data'!F131</f>
        <v>10596</v>
      </c>
      <c r="C131">
        <f>'Cleaned Data'!H131</f>
        <v>25</v>
      </c>
      <c r="D131">
        <f>'Cleaned Data'!E131</f>
        <v>68410.929999999993</v>
      </c>
      <c r="E131">
        <f>'Cleaned Data'!K131</f>
        <v>0</v>
      </c>
      <c r="F131">
        <f>'Dummy Variables'!O131</f>
        <v>0</v>
      </c>
      <c r="G131">
        <f>'Dummy Variables'!P131</f>
        <v>0</v>
      </c>
      <c r="H131">
        <f>'Dummy Variables'!Q131</f>
        <v>0</v>
      </c>
      <c r="J131" s="9">
        <v>99</v>
      </c>
      <c r="K131" s="9">
        <v>609070.73386776855</v>
      </c>
      <c r="L131" s="9">
        <v>-3295.4038677685894</v>
      </c>
    </row>
    <row r="132" spans="1:12">
      <c r="A132" s="9">
        <f>'Cleaned Data'!M132</f>
        <v>725235.28</v>
      </c>
      <c r="B132" s="9">
        <f>'Cleaned Data'!F132</f>
        <v>9619</v>
      </c>
      <c r="C132">
        <f>'Cleaned Data'!H132</f>
        <v>19</v>
      </c>
      <c r="D132">
        <f>'Cleaned Data'!E132</f>
        <v>50735.63</v>
      </c>
      <c r="E132">
        <f>'Cleaned Data'!K132</f>
        <v>1</v>
      </c>
      <c r="F132">
        <f>'Dummy Variables'!O132</f>
        <v>0</v>
      </c>
      <c r="G132">
        <f>'Dummy Variables'!P132</f>
        <v>0</v>
      </c>
      <c r="H132">
        <f>'Dummy Variables'!Q132</f>
        <v>0</v>
      </c>
      <c r="J132" s="9">
        <v>100</v>
      </c>
      <c r="K132" s="9">
        <v>635088.05594918737</v>
      </c>
      <c r="L132" s="9">
        <v>40089.624050812679</v>
      </c>
    </row>
    <row r="133" spans="1:12">
      <c r="A133" s="9">
        <f>'Cleaned Data'!M133</f>
        <v>811452.72</v>
      </c>
      <c r="B133" s="9">
        <f>'Cleaned Data'!F133</f>
        <v>10836</v>
      </c>
      <c r="C133">
        <f>'Cleaned Data'!H133</f>
        <v>25</v>
      </c>
      <c r="D133">
        <f>'Cleaned Data'!E133</f>
        <v>66455.8</v>
      </c>
      <c r="E133">
        <f>'Cleaned Data'!K133</f>
        <v>0</v>
      </c>
      <c r="F133">
        <f>'Dummy Variables'!O133</f>
        <v>0</v>
      </c>
      <c r="G133">
        <f>'Dummy Variables'!P133</f>
        <v>0</v>
      </c>
      <c r="H133">
        <f>'Dummy Variables'!Q133</f>
        <v>0</v>
      </c>
      <c r="J133" s="9">
        <v>101</v>
      </c>
      <c r="K133" s="9">
        <v>565523.32500558475</v>
      </c>
      <c r="L133" s="9">
        <v>69658.024994415231</v>
      </c>
    </row>
    <row r="134" spans="1:12">
      <c r="A134" s="9">
        <f>'Cleaned Data'!M134</f>
        <v>527300.13</v>
      </c>
      <c r="B134" s="9">
        <f>'Cleaned Data'!F134</f>
        <v>3043</v>
      </c>
      <c r="C134">
        <f>'Cleaned Data'!H134</f>
        <v>9</v>
      </c>
      <c r="D134">
        <f>'Cleaned Data'!E134</f>
        <v>70276.28</v>
      </c>
      <c r="E134">
        <f>'Cleaned Data'!K134</f>
        <v>0</v>
      </c>
      <c r="F134">
        <f>'Dummy Variables'!O134</f>
        <v>1</v>
      </c>
      <c r="G134">
        <f>'Dummy Variables'!P134</f>
        <v>0</v>
      </c>
      <c r="H134">
        <f>'Dummy Variables'!Q134</f>
        <v>0</v>
      </c>
      <c r="J134" s="9">
        <v>102</v>
      </c>
      <c r="K134" s="9">
        <v>602948.30595164467</v>
      </c>
      <c r="L134" s="9">
        <v>-16321.365951644722</v>
      </c>
    </row>
    <row r="135" spans="1:12">
      <c r="A135" s="9">
        <f>'Cleaned Data'!M135</f>
        <v>400831.65</v>
      </c>
      <c r="B135" s="9">
        <f>'Cleaned Data'!F135</f>
        <v>1814</v>
      </c>
      <c r="C135">
        <f>'Cleaned Data'!H135</f>
        <v>8</v>
      </c>
      <c r="D135">
        <f>'Cleaned Data'!E135</f>
        <v>22071.64</v>
      </c>
      <c r="E135">
        <f>'Cleaned Data'!K135</f>
        <v>0</v>
      </c>
      <c r="F135">
        <f>'Dummy Variables'!O135</f>
        <v>1</v>
      </c>
      <c r="G135">
        <f>'Dummy Variables'!P135</f>
        <v>0</v>
      </c>
      <c r="H135">
        <f>'Dummy Variables'!Q135</f>
        <v>0</v>
      </c>
      <c r="J135" s="9">
        <v>103</v>
      </c>
      <c r="K135" s="9">
        <v>717928.25841661089</v>
      </c>
      <c r="L135" s="9">
        <v>22174.381583389128</v>
      </c>
    </row>
    <row r="136" spans="1:12">
      <c r="A136" s="9">
        <f>'Cleaned Data'!M136</f>
        <v>593247.25</v>
      </c>
      <c r="B136" s="9">
        <f>'Cleaned Data'!F136</f>
        <v>3618</v>
      </c>
      <c r="C136">
        <f>'Cleaned Data'!H136</f>
        <v>11</v>
      </c>
      <c r="D136">
        <f>'Cleaned Data'!E136</f>
        <v>52285.45</v>
      </c>
      <c r="E136">
        <f>'Cleaned Data'!K136</f>
        <v>1</v>
      </c>
      <c r="F136">
        <f>'Dummy Variables'!O136</f>
        <v>1</v>
      </c>
      <c r="G136">
        <f>'Dummy Variables'!P136</f>
        <v>0</v>
      </c>
      <c r="H136">
        <f>'Dummy Variables'!Q136</f>
        <v>0</v>
      </c>
      <c r="J136" s="9">
        <v>104</v>
      </c>
      <c r="K136" s="9">
        <v>494327.60266300087</v>
      </c>
      <c r="L136" s="9">
        <v>131186.43733699917</v>
      </c>
    </row>
    <row r="137" spans="1:12">
      <c r="A137" s="9">
        <f>'Cleaned Data'!M137</f>
        <v>529075.94999999995</v>
      </c>
      <c r="B137" s="9">
        <f>'Cleaned Data'!F137</f>
        <v>1963</v>
      </c>
      <c r="C137">
        <f>'Cleaned Data'!H137</f>
        <v>8</v>
      </c>
      <c r="D137">
        <f>'Cleaned Data'!E137</f>
        <v>70366.759999999995</v>
      </c>
      <c r="E137">
        <f>'Cleaned Data'!K137</f>
        <v>0</v>
      </c>
      <c r="F137">
        <f>'Dummy Variables'!O137</f>
        <v>1</v>
      </c>
      <c r="G137">
        <f>'Dummy Variables'!P137</f>
        <v>0</v>
      </c>
      <c r="H137">
        <f>'Dummy Variables'!Q137</f>
        <v>0</v>
      </c>
      <c r="J137" s="9">
        <v>105</v>
      </c>
      <c r="K137" s="9">
        <v>722712.99386679649</v>
      </c>
      <c r="L137" s="9">
        <v>4514.2061332034646</v>
      </c>
    </row>
    <row r="138" spans="1:12">
      <c r="A138" s="9">
        <f>'Cleaned Data'!M138</f>
        <v>633638.03</v>
      </c>
      <c r="B138" s="9">
        <f>'Cleaned Data'!F138</f>
        <v>7888</v>
      </c>
      <c r="C138">
        <f>'Cleaned Data'!H138</f>
        <v>20</v>
      </c>
      <c r="D138">
        <f>'Cleaned Data'!E138</f>
        <v>71320.66</v>
      </c>
      <c r="E138">
        <f>'Cleaned Data'!K138</f>
        <v>0</v>
      </c>
      <c r="F138">
        <f>'Dummy Variables'!O138</f>
        <v>0</v>
      </c>
      <c r="G138">
        <f>'Dummy Variables'!P138</f>
        <v>1</v>
      </c>
      <c r="H138">
        <f>'Dummy Variables'!Q138</f>
        <v>0</v>
      </c>
      <c r="J138" s="9">
        <v>106</v>
      </c>
      <c r="K138" s="9">
        <v>781760.08464610076</v>
      </c>
      <c r="L138" s="9">
        <v>2037.8053538992535</v>
      </c>
    </row>
    <row r="139" spans="1:12">
      <c r="A139" s="9">
        <f>'Cleaned Data'!M139</f>
        <v>743348.84</v>
      </c>
      <c r="B139" s="9">
        <f>'Cleaned Data'!F139</f>
        <v>6244</v>
      </c>
      <c r="C139">
        <f>'Cleaned Data'!H139</f>
        <v>15</v>
      </c>
      <c r="D139">
        <f>'Cleaned Data'!E139</f>
        <v>75109.67</v>
      </c>
      <c r="E139">
        <f>'Cleaned Data'!K139</f>
        <v>0</v>
      </c>
      <c r="F139">
        <f>'Dummy Variables'!O139</f>
        <v>0</v>
      </c>
      <c r="G139">
        <f>'Dummy Variables'!P139</f>
        <v>1</v>
      </c>
      <c r="H139">
        <f>'Dummy Variables'!Q139</f>
        <v>0</v>
      </c>
      <c r="J139" s="9">
        <v>107</v>
      </c>
      <c r="K139" s="9">
        <v>702599.37702642067</v>
      </c>
      <c r="L139" s="9">
        <v>92554.462973579299</v>
      </c>
    </row>
    <row r="140" spans="1:12">
      <c r="A140" s="9">
        <f>'Cleaned Data'!M140</f>
        <v>758827.64</v>
      </c>
      <c r="B140" s="9">
        <f>'Cleaned Data'!F140</f>
        <v>6544</v>
      </c>
      <c r="C140">
        <f>'Cleaned Data'!H140</f>
        <v>18</v>
      </c>
      <c r="D140">
        <f>'Cleaned Data'!E140</f>
        <v>69779</v>
      </c>
      <c r="E140">
        <f>'Cleaned Data'!K140</f>
        <v>1</v>
      </c>
      <c r="F140">
        <f>'Dummy Variables'!O140</f>
        <v>0</v>
      </c>
      <c r="G140">
        <f>'Dummy Variables'!P140</f>
        <v>1</v>
      </c>
      <c r="H140">
        <f>'Dummy Variables'!Q140</f>
        <v>0</v>
      </c>
      <c r="J140" s="9">
        <v>108</v>
      </c>
      <c r="K140" s="9">
        <v>670475.46105570591</v>
      </c>
      <c r="L140" s="9">
        <v>-4880.5210557059618</v>
      </c>
    </row>
    <row r="141" spans="1:12">
      <c r="A141" s="9">
        <f>'Cleaned Data'!M141</f>
        <v>646559.71</v>
      </c>
      <c r="B141" s="9">
        <f>'Cleaned Data'!F141</f>
        <v>5465</v>
      </c>
      <c r="C141">
        <f>'Cleaned Data'!H141</f>
        <v>12</v>
      </c>
      <c r="D141">
        <f>'Cleaned Data'!E141</f>
        <v>44211.95</v>
      </c>
      <c r="E141">
        <f>'Cleaned Data'!K141</f>
        <v>0</v>
      </c>
      <c r="F141">
        <f>'Dummy Variables'!O141</f>
        <v>0</v>
      </c>
      <c r="G141">
        <f>'Dummy Variables'!P141</f>
        <v>1</v>
      </c>
      <c r="H141">
        <f>'Dummy Variables'!Q141</f>
        <v>0</v>
      </c>
      <c r="J141" s="9">
        <v>109</v>
      </c>
      <c r="K141" s="9">
        <v>719129.65658844425</v>
      </c>
      <c r="L141" s="9">
        <v>-9651.2665884442395</v>
      </c>
    </row>
    <row r="142" spans="1:12">
      <c r="A142" s="9">
        <f>'Cleaned Data'!M142</f>
        <v>715890.53</v>
      </c>
      <c r="B142" s="9">
        <f>'Cleaned Data'!F142</f>
        <v>6427</v>
      </c>
      <c r="C142">
        <f>'Cleaned Data'!H142</f>
        <v>14</v>
      </c>
      <c r="D142">
        <f>'Cleaned Data'!E142</f>
        <v>51430.31</v>
      </c>
      <c r="E142">
        <f>'Cleaned Data'!K142</f>
        <v>0</v>
      </c>
      <c r="F142">
        <f>'Dummy Variables'!O142</f>
        <v>0</v>
      </c>
      <c r="G142">
        <f>'Dummy Variables'!P142</f>
        <v>0</v>
      </c>
      <c r="H142">
        <f>'Dummy Variables'!Q142</f>
        <v>1</v>
      </c>
      <c r="J142" s="9">
        <v>110</v>
      </c>
      <c r="K142" s="9">
        <v>640626.89654575766</v>
      </c>
      <c r="L142" s="9">
        <v>23535.593454242335</v>
      </c>
    </row>
    <row r="143" spans="1:12">
      <c r="A143" s="9">
        <f>'Cleaned Data'!M143</f>
        <v>715097.57</v>
      </c>
      <c r="B143" s="9">
        <f>'Cleaned Data'!F143</f>
        <v>6704</v>
      </c>
      <c r="C143">
        <f>'Cleaned Data'!H143</f>
        <v>15</v>
      </c>
      <c r="D143">
        <f>'Cleaned Data'!E143</f>
        <v>45706.49</v>
      </c>
      <c r="E143">
        <f>'Cleaned Data'!K143</f>
        <v>0</v>
      </c>
      <c r="F143">
        <f>'Dummy Variables'!O143</f>
        <v>0</v>
      </c>
      <c r="G143">
        <f>'Dummy Variables'!P143</f>
        <v>0</v>
      </c>
      <c r="H143">
        <f>'Dummy Variables'!Q143</f>
        <v>1</v>
      </c>
      <c r="J143" s="9">
        <v>111</v>
      </c>
      <c r="K143" s="9">
        <v>625413.85298590444</v>
      </c>
      <c r="L143" s="9">
        <v>8080.3570140955271</v>
      </c>
    </row>
    <row r="144" spans="1:12">
      <c r="A144" s="9">
        <f>'Cleaned Data'!M144</f>
        <v>682639.28</v>
      </c>
      <c r="B144" s="9">
        <f>'Cleaned Data'!F144</f>
        <v>5645</v>
      </c>
      <c r="C144">
        <f>'Cleaned Data'!H144</f>
        <v>18</v>
      </c>
      <c r="D144">
        <f>'Cleaned Data'!E144</f>
        <v>44034.6</v>
      </c>
      <c r="E144">
        <f>'Cleaned Data'!K144</f>
        <v>0</v>
      </c>
      <c r="F144">
        <f>'Dummy Variables'!O144</f>
        <v>0</v>
      </c>
      <c r="G144">
        <f>'Dummy Variables'!P144</f>
        <v>0</v>
      </c>
      <c r="H144">
        <f>'Dummy Variables'!Q144</f>
        <v>1</v>
      </c>
      <c r="J144" s="9">
        <v>112</v>
      </c>
      <c r="K144" s="9">
        <v>577486.68220818241</v>
      </c>
      <c r="L144" s="9">
        <v>136124.47779181763</v>
      </c>
    </row>
    <row r="145" spans="1:12">
      <c r="A145" s="9">
        <f>'Cleaned Data'!M145</f>
        <v>695098.51</v>
      </c>
      <c r="B145" s="9">
        <f>'Cleaned Data'!F145</f>
        <v>6089</v>
      </c>
      <c r="C145">
        <f>'Cleaned Data'!H145</f>
        <v>19</v>
      </c>
      <c r="D145">
        <f>'Cleaned Data'!E145</f>
        <v>50198.12</v>
      </c>
      <c r="E145">
        <f>'Cleaned Data'!K145</f>
        <v>0</v>
      </c>
      <c r="F145">
        <f>'Dummy Variables'!O145</f>
        <v>0</v>
      </c>
      <c r="G145">
        <f>'Dummy Variables'!P145</f>
        <v>0</v>
      </c>
      <c r="H145">
        <f>'Dummy Variables'!Q145</f>
        <v>1</v>
      </c>
      <c r="J145" s="9">
        <v>113</v>
      </c>
      <c r="K145" s="9">
        <v>775653.62019679311</v>
      </c>
      <c r="L145" s="9">
        <v>2744.3498032068601</v>
      </c>
    </row>
    <row r="146" spans="1:12">
      <c r="A146" s="9">
        <f>'Cleaned Data'!M146</f>
        <v>577732.56999999995</v>
      </c>
      <c r="B146" s="9">
        <f>'Cleaned Data'!F146</f>
        <v>4312</v>
      </c>
      <c r="C146">
        <f>'Cleaned Data'!H146</f>
        <v>12</v>
      </c>
      <c r="D146">
        <f>'Cleaned Data'!E146</f>
        <v>70488.2</v>
      </c>
      <c r="E146">
        <f>'Cleaned Data'!K146</f>
        <v>0</v>
      </c>
      <c r="F146">
        <f>'Dummy Variables'!O146</f>
        <v>1</v>
      </c>
      <c r="G146">
        <f>'Dummy Variables'!P146</f>
        <v>0</v>
      </c>
      <c r="H146">
        <f>'Dummy Variables'!Q146</f>
        <v>0</v>
      </c>
      <c r="J146" s="9">
        <v>114</v>
      </c>
      <c r="K146" s="9">
        <v>812293.43532515643</v>
      </c>
      <c r="L146" s="9">
        <v>61086.584674843587</v>
      </c>
    </row>
    <row r="147" spans="1:12">
      <c r="A147" s="9">
        <f>'Cleaned Data'!M147</f>
        <v>537058.32999999996</v>
      </c>
      <c r="B147" s="9">
        <f>'Cleaned Data'!F147</f>
        <v>3152</v>
      </c>
      <c r="C147">
        <f>'Cleaned Data'!H147</f>
        <v>13</v>
      </c>
      <c r="D147">
        <f>'Cleaned Data'!E147</f>
        <v>50909.27</v>
      </c>
      <c r="E147">
        <f>'Cleaned Data'!K147</f>
        <v>0</v>
      </c>
      <c r="F147">
        <f>'Dummy Variables'!O147</f>
        <v>1</v>
      </c>
      <c r="G147">
        <f>'Dummy Variables'!P147</f>
        <v>0</v>
      </c>
      <c r="H147">
        <f>'Dummy Variables'!Q147</f>
        <v>0</v>
      </c>
      <c r="J147" s="9">
        <v>115</v>
      </c>
      <c r="K147" s="9">
        <v>753923.42625670345</v>
      </c>
      <c r="L147" s="9">
        <v>-56635.526256703422</v>
      </c>
    </row>
    <row r="148" spans="1:12">
      <c r="A148" s="9">
        <f>'Cleaned Data'!M148</f>
        <v>601568.87</v>
      </c>
      <c r="B148" s="9">
        <f>'Cleaned Data'!F148</f>
        <v>4259</v>
      </c>
      <c r="C148">
        <f>'Cleaned Data'!H148</f>
        <v>15</v>
      </c>
      <c r="D148">
        <f>'Cleaned Data'!E148</f>
        <v>53351.7</v>
      </c>
      <c r="E148">
        <f>'Cleaned Data'!K148</f>
        <v>0</v>
      </c>
      <c r="F148">
        <f>'Dummy Variables'!O148</f>
        <v>1</v>
      </c>
      <c r="G148">
        <f>'Dummy Variables'!P148</f>
        <v>0</v>
      </c>
      <c r="H148">
        <f>'Dummy Variables'!Q148</f>
        <v>0</v>
      </c>
      <c r="J148" s="9">
        <v>116</v>
      </c>
      <c r="K148" s="9">
        <v>745969.80468608986</v>
      </c>
      <c r="L148" s="9">
        <v>-27895.014686089824</v>
      </c>
    </row>
    <row r="149" spans="1:12">
      <c r="A149" s="9">
        <f>'Cleaned Data'!M149</f>
        <v>570964.84</v>
      </c>
      <c r="B149" s="9">
        <f>'Cleaned Data'!F149</f>
        <v>3350</v>
      </c>
      <c r="C149">
        <f>'Cleaned Data'!H149</f>
        <v>12</v>
      </c>
      <c r="D149">
        <f>'Cleaned Data'!E149</f>
        <v>60322.400000000001</v>
      </c>
      <c r="E149">
        <f>'Cleaned Data'!K149</f>
        <v>0</v>
      </c>
      <c r="F149">
        <f>'Dummy Variables'!O149</f>
        <v>1</v>
      </c>
      <c r="G149">
        <f>'Dummy Variables'!P149</f>
        <v>0</v>
      </c>
      <c r="H149">
        <f>'Dummy Variables'!Q149</f>
        <v>0</v>
      </c>
      <c r="J149" s="9">
        <v>117</v>
      </c>
      <c r="K149" s="9">
        <v>722646.36460316996</v>
      </c>
      <c r="L149" s="9">
        <v>-7703.9346031699097</v>
      </c>
    </row>
    <row r="150" spans="1:12">
      <c r="A150" s="9">
        <f>'Cleaned Data'!M150</f>
        <v>614024.91</v>
      </c>
      <c r="B150" s="9">
        <f>'Cleaned Data'!F150</f>
        <v>5329</v>
      </c>
      <c r="C150">
        <f>'Cleaned Data'!H150</f>
        <v>17</v>
      </c>
      <c r="D150">
        <f>'Cleaned Data'!E150</f>
        <v>51575.68</v>
      </c>
      <c r="E150">
        <f>'Cleaned Data'!K150</f>
        <v>0</v>
      </c>
      <c r="F150">
        <f>'Dummy Variables'!O150</f>
        <v>0</v>
      </c>
      <c r="G150">
        <f>'Dummy Variables'!P150</f>
        <v>1</v>
      </c>
      <c r="H150">
        <f>'Dummy Variables'!Q150</f>
        <v>0</v>
      </c>
      <c r="J150" s="9">
        <v>118</v>
      </c>
      <c r="K150" s="9">
        <v>748514.47905817232</v>
      </c>
      <c r="L150" s="9">
        <v>72004.560941827716</v>
      </c>
    </row>
    <row r="151" spans="1:12">
      <c r="A151" s="9">
        <f>'Cleaned Data'!M151</f>
        <v>712868.35</v>
      </c>
      <c r="B151" s="9">
        <f>'Cleaned Data'!F151</f>
        <v>6551</v>
      </c>
      <c r="C151">
        <f>'Cleaned Data'!H151</f>
        <v>13</v>
      </c>
      <c r="D151">
        <f>'Cleaned Data'!E151</f>
        <v>43319.94</v>
      </c>
      <c r="E151">
        <f>'Cleaned Data'!K151</f>
        <v>0</v>
      </c>
      <c r="F151">
        <f>'Dummy Variables'!O151</f>
        <v>0</v>
      </c>
      <c r="G151">
        <f>'Dummy Variables'!P151</f>
        <v>1</v>
      </c>
      <c r="H151">
        <f>'Dummy Variables'!Q151</f>
        <v>0</v>
      </c>
      <c r="J151" s="9">
        <v>119</v>
      </c>
      <c r="K151" s="9">
        <v>731500.03754999733</v>
      </c>
      <c r="L151" s="9">
        <v>-47282.717549997382</v>
      </c>
    </row>
    <row r="152" spans="1:12">
      <c r="A152" s="9">
        <f>'Cleaned Data'!M152</f>
        <v>696744.15</v>
      </c>
      <c r="B152" s="9">
        <f>'Cleaned Data'!F152</f>
        <v>5550</v>
      </c>
      <c r="C152">
        <f>'Cleaned Data'!H152</f>
        <v>12</v>
      </c>
      <c r="D152">
        <f>'Cleaned Data'!E152</f>
        <v>47093.55</v>
      </c>
      <c r="E152">
        <f>'Cleaned Data'!K152</f>
        <v>1</v>
      </c>
      <c r="F152">
        <f>'Dummy Variables'!O152</f>
        <v>0</v>
      </c>
      <c r="G152">
        <f>'Dummy Variables'!P152</f>
        <v>1</v>
      </c>
      <c r="H152">
        <f>'Dummy Variables'!Q152</f>
        <v>0</v>
      </c>
      <c r="J152" s="9">
        <v>120</v>
      </c>
      <c r="K152" s="9">
        <v>727689.50254552439</v>
      </c>
      <c r="L152" s="9">
        <v>7790.6874544755556</v>
      </c>
    </row>
    <row r="153" spans="1:12">
      <c r="A153" s="9">
        <f>'Cleaned Data'!M153</f>
        <v>725847.99</v>
      </c>
      <c r="B153" s="9">
        <f>'Cleaned Data'!F153</f>
        <v>5911</v>
      </c>
      <c r="C153">
        <f>'Cleaned Data'!H153</f>
        <v>15</v>
      </c>
      <c r="D153">
        <f>'Cleaned Data'!E153</f>
        <v>71855.09</v>
      </c>
      <c r="E153">
        <f>'Cleaned Data'!K153</f>
        <v>0</v>
      </c>
      <c r="F153">
        <f>'Dummy Variables'!O153</f>
        <v>0</v>
      </c>
      <c r="G153">
        <f>'Dummy Variables'!P153</f>
        <v>1</v>
      </c>
      <c r="H153">
        <f>'Dummy Variables'!Q153</f>
        <v>0</v>
      </c>
      <c r="J153" s="9">
        <v>121</v>
      </c>
      <c r="K153" s="9">
        <v>576436.08383956051</v>
      </c>
      <c r="L153" s="9">
        <v>-66951.273839560512</v>
      </c>
    </row>
    <row r="154" spans="1:12">
      <c r="A154" s="9">
        <f>'Cleaned Data'!M154</f>
        <v>785028.25</v>
      </c>
      <c r="B154" s="9">
        <f>'Cleaned Data'!F154</f>
        <v>9674</v>
      </c>
      <c r="C154">
        <f>'Cleaned Data'!H154</f>
        <v>21</v>
      </c>
      <c r="D154">
        <f>'Cleaned Data'!E154</f>
        <v>75645.23</v>
      </c>
      <c r="E154">
        <f>'Cleaned Data'!K154</f>
        <v>0</v>
      </c>
      <c r="F154">
        <f>'Dummy Variables'!O154</f>
        <v>0</v>
      </c>
      <c r="G154">
        <f>'Dummy Variables'!P154</f>
        <v>0</v>
      </c>
      <c r="H154">
        <f>'Dummy Variables'!Q154</f>
        <v>0</v>
      </c>
      <c r="J154" s="9">
        <v>122</v>
      </c>
      <c r="K154" s="9">
        <v>618593.35496560601</v>
      </c>
      <c r="L154" s="9">
        <v>35723.735034393962</v>
      </c>
    </row>
    <row r="155" spans="1:12">
      <c r="A155" s="9">
        <f>'Cleaned Data'!M155</f>
        <v>698492.67</v>
      </c>
      <c r="B155" s="9">
        <f>'Cleaned Data'!F155</f>
        <v>6740</v>
      </c>
      <c r="C155">
        <f>'Cleaned Data'!H155</f>
        <v>18</v>
      </c>
      <c r="D155">
        <f>'Cleaned Data'!E155</f>
        <v>64374.75</v>
      </c>
      <c r="E155">
        <f>'Cleaned Data'!K155</f>
        <v>0</v>
      </c>
      <c r="F155">
        <f>'Dummy Variables'!O155</f>
        <v>0</v>
      </c>
      <c r="G155">
        <f>'Dummy Variables'!P155</f>
        <v>0</v>
      </c>
      <c r="H155">
        <f>'Dummy Variables'!Q155</f>
        <v>0</v>
      </c>
      <c r="J155" s="9">
        <v>123</v>
      </c>
      <c r="K155" s="9">
        <v>602872.07153138204</v>
      </c>
      <c r="L155" s="9">
        <v>-45384.811531382031</v>
      </c>
    </row>
    <row r="156" spans="1:12">
      <c r="A156" s="9">
        <f>'Cleaned Data'!M156</f>
        <v>685830.24</v>
      </c>
      <c r="B156" s="9">
        <f>'Cleaned Data'!F156</f>
        <v>7745</v>
      </c>
      <c r="C156">
        <f>'Cleaned Data'!H156</f>
        <v>16</v>
      </c>
      <c r="D156">
        <f>'Cleaned Data'!E156</f>
        <v>61433.84</v>
      </c>
      <c r="E156">
        <f>'Cleaned Data'!K156</f>
        <v>0</v>
      </c>
      <c r="F156">
        <f>'Dummy Variables'!O156</f>
        <v>0</v>
      </c>
      <c r="G156">
        <f>'Dummy Variables'!P156</f>
        <v>0</v>
      </c>
      <c r="H156">
        <f>'Dummy Variables'!Q156</f>
        <v>0</v>
      </c>
      <c r="J156" s="9">
        <v>124</v>
      </c>
      <c r="K156" s="9">
        <v>484230.2525480052</v>
      </c>
      <c r="L156" s="9">
        <v>-42954.832548005215</v>
      </c>
    </row>
    <row r="157" spans="1:12">
      <c r="A157" s="9">
        <f>'Cleaned Data'!M157</f>
        <v>702318.94</v>
      </c>
      <c r="B157" s="9">
        <f>'Cleaned Data'!F157</f>
        <v>7693</v>
      </c>
      <c r="C157">
        <f>'Cleaned Data'!H157</f>
        <v>19</v>
      </c>
      <c r="D157">
        <f>'Cleaned Data'!E157</f>
        <v>42698.14</v>
      </c>
      <c r="E157">
        <f>'Cleaned Data'!K157</f>
        <v>0</v>
      </c>
      <c r="F157">
        <f>'Dummy Variables'!O157</f>
        <v>0</v>
      </c>
      <c r="G157">
        <f>'Dummy Variables'!P157</f>
        <v>0</v>
      </c>
      <c r="H157">
        <f>'Dummy Variables'!Q157</f>
        <v>0</v>
      </c>
      <c r="J157" s="9">
        <v>125</v>
      </c>
      <c r="K157" s="9">
        <v>839775.18839232193</v>
      </c>
      <c r="L157" s="9">
        <v>74768.981607678114</v>
      </c>
    </row>
    <row r="158" spans="1:12">
      <c r="A158" s="9">
        <f>'Cleaned Data'!M158</f>
        <v>700078.32</v>
      </c>
      <c r="B158" s="9">
        <f>'Cleaned Data'!F158</f>
        <v>6424</v>
      </c>
      <c r="C158">
        <f>'Cleaned Data'!H158</f>
        <v>19</v>
      </c>
      <c r="D158">
        <f>'Cleaned Data'!E158</f>
        <v>86883.31</v>
      </c>
      <c r="E158">
        <f>'Cleaned Data'!K158</f>
        <v>0</v>
      </c>
      <c r="F158">
        <f>'Dummy Variables'!O158</f>
        <v>1</v>
      </c>
      <c r="G158">
        <f>'Dummy Variables'!P158</f>
        <v>0</v>
      </c>
      <c r="H158">
        <f>'Dummy Variables'!Q158</f>
        <v>0</v>
      </c>
      <c r="J158" s="9">
        <v>126</v>
      </c>
      <c r="K158" s="9">
        <v>832967.18936928222</v>
      </c>
      <c r="L158" s="9">
        <v>9472.4806307178224</v>
      </c>
    </row>
    <row r="159" spans="1:12">
      <c r="A159" s="9">
        <f>'Cleaned Data'!M159</f>
        <v>602002.31999999995</v>
      </c>
      <c r="B159" s="9">
        <f>'Cleaned Data'!F159</f>
        <v>5400</v>
      </c>
      <c r="C159">
        <f>'Cleaned Data'!H159</f>
        <v>11</v>
      </c>
      <c r="D159">
        <f>'Cleaned Data'!E159</f>
        <v>41863.08</v>
      </c>
      <c r="E159">
        <f>'Cleaned Data'!K159</f>
        <v>0</v>
      </c>
      <c r="F159">
        <f>'Dummy Variables'!O159</f>
        <v>1</v>
      </c>
      <c r="G159">
        <f>'Dummy Variables'!P159</f>
        <v>0</v>
      </c>
      <c r="H159">
        <f>'Dummy Variables'!Q159</f>
        <v>0</v>
      </c>
      <c r="J159" s="9">
        <v>127</v>
      </c>
      <c r="K159" s="9">
        <v>798431.32850044372</v>
      </c>
      <c r="L159" s="9">
        <v>43726.591499556322</v>
      </c>
    </row>
    <row r="160" spans="1:12">
      <c r="A160" s="9">
        <f>'Cleaned Data'!M160</f>
        <v>724216.07</v>
      </c>
      <c r="B160" s="9">
        <f>'Cleaned Data'!F160</f>
        <v>7015</v>
      </c>
      <c r="C160">
        <f>'Cleaned Data'!H160</f>
        <v>18</v>
      </c>
      <c r="D160">
        <f>'Cleaned Data'!E160</f>
        <v>56918.16</v>
      </c>
      <c r="E160">
        <f>'Cleaned Data'!K160</f>
        <v>0</v>
      </c>
      <c r="F160">
        <f>'Dummy Variables'!O160</f>
        <v>1</v>
      </c>
      <c r="G160">
        <f>'Dummy Variables'!P160</f>
        <v>0</v>
      </c>
      <c r="H160">
        <f>'Dummy Variables'!Q160</f>
        <v>0</v>
      </c>
      <c r="J160" s="9">
        <v>128</v>
      </c>
      <c r="K160" s="9">
        <v>722974.5207001603</v>
      </c>
      <c r="L160" s="9">
        <v>-25819.220700160251</v>
      </c>
    </row>
    <row r="161" spans="1:12">
      <c r="A161" s="9">
        <f>'Cleaned Data'!M161</f>
        <v>620973.03</v>
      </c>
      <c r="B161" s="9">
        <f>'Cleaned Data'!F161</f>
        <v>3847</v>
      </c>
      <c r="C161">
        <f>'Cleaned Data'!H161</f>
        <v>12</v>
      </c>
      <c r="D161">
        <f>'Cleaned Data'!E161</f>
        <v>23254.57</v>
      </c>
      <c r="E161">
        <f>'Cleaned Data'!K161</f>
        <v>0</v>
      </c>
      <c r="F161">
        <f>'Dummy Variables'!O161</f>
        <v>1</v>
      </c>
      <c r="G161">
        <f>'Dummy Variables'!P161</f>
        <v>0</v>
      </c>
      <c r="H161">
        <f>'Dummy Variables'!Q161</f>
        <v>0</v>
      </c>
      <c r="J161" s="9">
        <v>129</v>
      </c>
      <c r="K161" s="9">
        <v>831786.35459032538</v>
      </c>
      <c r="L161" s="9">
        <v>17231.945409674663</v>
      </c>
    </row>
    <row r="162" spans="1:12">
      <c r="A162" s="9">
        <f>'Cleaned Data'!M162</f>
        <v>650480.06000000006</v>
      </c>
      <c r="B162" s="9">
        <f>'Cleaned Data'!F162</f>
        <v>7455</v>
      </c>
      <c r="C162">
        <f>'Cleaned Data'!H162</f>
        <v>16</v>
      </c>
      <c r="D162">
        <f>'Cleaned Data'!E162</f>
        <v>41443.410000000003</v>
      </c>
      <c r="E162">
        <f>'Cleaned Data'!K162</f>
        <v>0</v>
      </c>
      <c r="F162">
        <f>'Dummy Variables'!O162</f>
        <v>0</v>
      </c>
      <c r="G162">
        <f>'Dummy Variables'!P162</f>
        <v>1</v>
      </c>
      <c r="H162">
        <f>'Dummy Variables'!Q162</f>
        <v>0</v>
      </c>
      <c r="J162" s="9">
        <v>130</v>
      </c>
      <c r="K162" s="9">
        <v>816719.82079966052</v>
      </c>
      <c r="L162" s="9">
        <v>-14889.470799660543</v>
      </c>
    </row>
    <row r="163" spans="1:12">
      <c r="A163" s="9">
        <f>'Cleaned Data'!M163</f>
        <v>778298.88</v>
      </c>
      <c r="B163" s="9">
        <f>'Cleaned Data'!F163</f>
        <v>6992</v>
      </c>
      <c r="C163">
        <f>'Cleaned Data'!H163</f>
        <v>20</v>
      </c>
      <c r="D163">
        <f>'Cleaned Data'!E163</f>
        <v>48438.85</v>
      </c>
      <c r="E163">
        <f>'Cleaned Data'!K163</f>
        <v>0</v>
      </c>
      <c r="F163">
        <f>'Dummy Variables'!O163</f>
        <v>0</v>
      </c>
      <c r="G163">
        <f>'Dummy Variables'!P163</f>
        <v>1</v>
      </c>
      <c r="H163">
        <f>'Dummy Variables'!Q163</f>
        <v>0</v>
      </c>
      <c r="J163" s="9">
        <v>131</v>
      </c>
      <c r="K163" s="9">
        <v>766399.47981360264</v>
      </c>
      <c r="L163" s="9">
        <v>-41164.199813602609</v>
      </c>
    </row>
    <row r="164" spans="1:12">
      <c r="A164" s="9">
        <f>'Cleaned Data'!M164</f>
        <v>677096.71</v>
      </c>
      <c r="B164" s="9">
        <f>'Cleaned Data'!F164</f>
        <v>8038</v>
      </c>
      <c r="C164">
        <f>'Cleaned Data'!H164</f>
        <v>17</v>
      </c>
      <c r="D164">
        <f>'Cleaned Data'!E164</f>
        <v>57143.3</v>
      </c>
      <c r="E164">
        <f>'Cleaned Data'!K164</f>
        <v>0</v>
      </c>
      <c r="F164">
        <f>'Dummy Variables'!O164</f>
        <v>0</v>
      </c>
      <c r="G164">
        <f>'Dummy Variables'!P164</f>
        <v>1</v>
      </c>
      <c r="H164">
        <f>'Dummy Variables'!Q164</f>
        <v>0</v>
      </c>
      <c r="J164" s="9">
        <v>132</v>
      </c>
      <c r="K164" s="9">
        <v>821528.83813557192</v>
      </c>
      <c r="L164" s="9">
        <v>-10076.118135571945</v>
      </c>
    </row>
    <row r="165" spans="1:12">
      <c r="A165" s="9">
        <f>'Cleaned Data'!M165</f>
        <v>692008.64</v>
      </c>
      <c r="B165" s="9">
        <f>'Cleaned Data'!F165</f>
        <v>6055</v>
      </c>
      <c r="C165">
        <f>'Cleaned Data'!H165</f>
        <v>19</v>
      </c>
      <c r="D165">
        <f>'Cleaned Data'!E165</f>
        <v>66870.62</v>
      </c>
      <c r="E165">
        <f>'Cleaned Data'!K165</f>
        <v>0</v>
      </c>
      <c r="F165">
        <f>'Dummy Variables'!O165</f>
        <v>0</v>
      </c>
      <c r="G165">
        <f>'Dummy Variables'!P165</f>
        <v>1</v>
      </c>
      <c r="H165">
        <f>'Dummy Variables'!Q165</f>
        <v>0</v>
      </c>
      <c r="J165" s="9">
        <v>133</v>
      </c>
      <c r="K165" s="9">
        <v>573455.08445010963</v>
      </c>
      <c r="L165" s="9">
        <v>-46154.954450109624</v>
      </c>
    </row>
    <row r="166" spans="1:12">
      <c r="A166" s="9">
        <f>'Cleaned Data'!M166</f>
        <v>825797.91</v>
      </c>
      <c r="B166" s="9">
        <f>'Cleaned Data'!F166</f>
        <v>9323</v>
      </c>
      <c r="C166">
        <f>'Cleaned Data'!H166</f>
        <v>22</v>
      </c>
      <c r="D166">
        <f>'Cleaned Data'!E166</f>
        <v>72150.53</v>
      </c>
      <c r="E166">
        <f>'Cleaned Data'!K166</f>
        <v>1</v>
      </c>
      <c r="F166">
        <f>'Dummy Variables'!O166</f>
        <v>1</v>
      </c>
      <c r="G166">
        <f>'Dummy Variables'!P166</f>
        <v>0</v>
      </c>
      <c r="H166">
        <f>'Dummy Variables'!Q166</f>
        <v>0</v>
      </c>
      <c r="J166" s="9">
        <v>134</v>
      </c>
      <c r="K166" s="9">
        <v>480334.86918091774</v>
      </c>
      <c r="L166" s="9">
        <v>-79503.219180917717</v>
      </c>
    </row>
    <row r="167" spans="1:12">
      <c r="A167" s="9">
        <f>'Cleaned Data'!M167</f>
        <v>706285.52</v>
      </c>
      <c r="B167" s="9">
        <f>'Cleaned Data'!F167</f>
        <v>8789</v>
      </c>
      <c r="C167">
        <f>'Cleaned Data'!H167</f>
        <v>22</v>
      </c>
      <c r="D167">
        <f>'Cleaned Data'!E167</f>
        <v>35303.300000000003</v>
      </c>
      <c r="E167">
        <f>'Cleaned Data'!K167</f>
        <v>0</v>
      </c>
      <c r="F167">
        <f>'Dummy Variables'!O167</f>
        <v>1</v>
      </c>
      <c r="G167">
        <f>'Dummy Variables'!P167</f>
        <v>0</v>
      </c>
      <c r="H167">
        <f>'Dummy Variables'!Q167</f>
        <v>0</v>
      </c>
      <c r="J167" s="9">
        <v>135</v>
      </c>
      <c r="K167" s="9">
        <v>586726.88297353184</v>
      </c>
      <c r="L167" s="9">
        <v>6520.3670264681568</v>
      </c>
    </row>
    <row r="168" spans="1:12">
      <c r="A168" s="9">
        <f>'Cleaned Data'!M168</f>
        <v>665534.69999999995</v>
      </c>
      <c r="B168" s="9">
        <f>'Cleaned Data'!F168</f>
        <v>6939</v>
      </c>
      <c r="C168">
        <f>'Cleaned Data'!H168</f>
        <v>16</v>
      </c>
      <c r="D168">
        <f>'Cleaned Data'!E168</f>
        <v>30301.86</v>
      </c>
      <c r="E168">
        <f>'Cleaned Data'!K168</f>
        <v>0</v>
      </c>
      <c r="F168">
        <f>'Dummy Variables'!O168</f>
        <v>1</v>
      </c>
      <c r="G168">
        <f>'Dummy Variables'!P168</f>
        <v>0</v>
      </c>
      <c r="H168">
        <f>'Dummy Variables'!Q168</f>
        <v>0</v>
      </c>
      <c r="J168" s="9">
        <v>136</v>
      </c>
      <c r="K168" s="9">
        <v>539605.28677573195</v>
      </c>
      <c r="L168" s="9">
        <v>-10529.336775731994</v>
      </c>
    </row>
    <row r="169" spans="1:12">
      <c r="A169" s="9">
        <f>'Cleaned Data'!M169</f>
        <v>820729.29</v>
      </c>
      <c r="B169" s="9">
        <f>'Cleaned Data'!F169</f>
        <v>9440</v>
      </c>
      <c r="C169">
        <f>'Cleaned Data'!H169</f>
        <v>23</v>
      </c>
      <c r="D169">
        <f>'Cleaned Data'!E169</f>
        <v>78432.14</v>
      </c>
      <c r="E169">
        <f>'Cleaned Data'!K169</f>
        <v>0</v>
      </c>
      <c r="F169">
        <f>'Dummy Variables'!O169</f>
        <v>1</v>
      </c>
      <c r="G169">
        <f>'Dummy Variables'!P169</f>
        <v>0</v>
      </c>
      <c r="H169">
        <f>'Dummy Variables'!Q169</f>
        <v>0</v>
      </c>
      <c r="J169" s="9">
        <v>137</v>
      </c>
      <c r="K169" s="9">
        <v>753603.83252598881</v>
      </c>
      <c r="L169" s="9">
        <v>-119965.80252598878</v>
      </c>
    </row>
    <row r="170" spans="1:12">
      <c r="A170" s="9">
        <f>'Cleaned Data'!M170</f>
        <v>739831.73</v>
      </c>
      <c r="B170" s="9">
        <f>'Cleaned Data'!F170</f>
        <v>9374</v>
      </c>
      <c r="C170">
        <f>'Cleaned Data'!H170</f>
        <v>25</v>
      </c>
      <c r="D170">
        <f>'Cleaned Data'!E170</f>
        <v>62059.18</v>
      </c>
      <c r="E170">
        <f>'Cleaned Data'!K170</f>
        <v>0</v>
      </c>
      <c r="F170">
        <f>'Dummy Variables'!O170</f>
        <v>0</v>
      </c>
      <c r="G170">
        <f>'Dummy Variables'!P170</f>
        <v>0</v>
      </c>
      <c r="H170">
        <f>'Dummy Variables'!Q170</f>
        <v>0</v>
      </c>
      <c r="J170" s="9">
        <v>138</v>
      </c>
      <c r="K170" s="9">
        <v>698194.6878935938</v>
      </c>
      <c r="L170" s="9">
        <v>45154.152106406167</v>
      </c>
    </row>
    <row r="171" spans="1:12">
      <c r="A171" s="9">
        <f>'Cleaned Data'!M171</f>
        <v>593637.14</v>
      </c>
      <c r="B171" s="9">
        <f>'Cleaned Data'!F171</f>
        <v>7576</v>
      </c>
      <c r="C171">
        <f>'Cleaned Data'!H171</f>
        <v>15</v>
      </c>
      <c r="D171">
        <f>'Cleaned Data'!E171</f>
        <v>32834.480000000003</v>
      </c>
      <c r="E171">
        <f>'Cleaned Data'!K171</f>
        <v>0</v>
      </c>
      <c r="F171">
        <f>'Dummy Variables'!O171</f>
        <v>0</v>
      </c>
      <c r="G171">
        <f>'Dummy Variables'!P171</f>
        <v>0</v>
      </c>
      <c r="H171">
        <f>'Dummy Variables'!Q171</f>
        <v>0</v>
      </c>
      <c r="J171" s="9">
        <v>139</v>
      </c>
      <c r="K171" s="9">
        <v>720112.02459102892</v>
      </c>
      <c r="L171" s="9">
        <v>38715.615408971091</v>
      </c>
    </row>
    <row r="172" spans="1:12">
      <c r="A172" s="9">
        <f>'Cleaned Data'!M172</f>
        <v>769702.76</v>
      </c>
      <c r="B172" s="9">
        <f>'Cleaned Data'!F172</f>
        <v>8949</v>
      </c>
      <c r="C172">
        <f>'Cleaned Data'!H172</f>
        <v>21</v>
      </c>
      <c r="D172">
        <f>'Cleaned Data'!E172</f>
        <v>50825.08</v>
      </c>
      <c r="E172">
        <f>'Cleaned Data'!K172</f>
        <v>0</v>
      </c>
      <c r="F172">
        <f>'Dummy Variables'!O172</f>
        <v>0</v>
      </c>
      <c r="G172">
        <f>'Dummy Variables'!P172</f>
        <v>0</v>
      </c>
      <c r="H172">
        <f>'Dummy Variables'!Q172</f>
        <v>0</v>
      </c>
      <c r="J172" s="9">
        <v>140</v>
      </c>
      <c r="K172" s="9">
        <v>633314.79651779204</v>
      </c>
      <c r="L172" s="9">
        <v>13244.913482207921</v>
      </c>
    </row>
    <row r="173" spans="1:12">
      <c r="A173" s="9">
        <f>'Cleaned Data'!M173</f>
        <v>679731.57</v>
      </c>
      <c r="B173" s="9">
        <f>'Cleaned Data'!F173</f>
        <v>7671</v>
      </c>
      <c r="C173">
        <f>'Cleaned Data'!H173</f>
        <v>18</v>
      </c>
      <c r="D173">
        <f>'Cleaned Data'!E173</f>
        <v>36606.51</v>
      </c>
      <c r="E173">
        <f>'Cleaned Data'!K173</f>
        <v>0</v>
      </c>
      <c r="F173">
        <f>'Dummy Variables'!O173</f>
        <v>0</v>
      </c>
      <c r="G173">
        <f>'Dummy Variables'!P173</f>
        <v>0</v>
      </c>
      <c r="H173">
        <f>'Dummy Variables'!Q173</f>
        <v>0</v>
      </c>
      <c r="J173" s="9">
        <v>141</v>
      </c>
      <c r="K173" s="9">
        <v>671421.01063771255</v>
      </c>
      <c r="L173" s="9">
        <v>44469.519362287479</v>
      </c>
    </row>
    <row r="174" spans="1:12">
      <c r="A174" s="9">
        <f>'Cleaned Data'!M174</f>
        <v>780344.18</v>
      </c>
      <c r="B174" s="9">
        <f>'Cleaned Data'!F174</f>
        <v>8741</v>
      </c>
      <c r="C174">
        <f>'Cleaned Data'!H174</f>
        <v>20</v>
      </c>
      <c r="D174">
        <f>'Cleaned Data'!E174</f>
        <v>65237.79</v>
      </c>
      <c r="E174">
        <f>'Cleaned Data'!K174</f>
        <v>0</v>
      </c>
      <c r="F174">
        <f>'Dummy Variables'!O174</f>
        <v>0</v>
      </c>
      <c r="G174">
        <f>'Dummy Variables'!P174</f>
        <v>0</v>
      </c>
      <c r="H174">
        <f>'Dummy Variables'!Q174</f>
        <v>0</v>
      </c>
      <c r="J174" s="9">
        <v>142</v>
      </c>
      <c r="K174" s="9">
        <v>675339.48079611454</v>
      </c>
      <c r="L174" s="9">
        <v>39758.089203885407</v>
      </c>
    </row>
    <row r="175" spans="1:12">
      <c r="A175" s="9">
        <f>'Cleaned Data'!M175</f>
        <v>721364.11</v>
      </c>
      <c r="B175" s="9">
        <f>'Cleaned Data'!F175</f>
        <v>9480</v>
      </c>
      <c r="C175">
        <f>'Cleaned Data'!H175</f>
        <v>22</v>
      </c>
      <c r="D175">
        <f>'Cleaned Data'!E175</f>
        <v>43645.98</v>
      </c>
      <c r="E175">
        <f>'Cleaned Data'!K175</f>
        <v>0</v>
      </c>
      <c r="F175">
        <f>'Dummy Variables'!O175</f>
        <v>0</v>
      </c>
      <c r="G175">
        <f>'Dummy Variables'!P175</f>
        <v>0</v>
      </c>
      <c r="H175">
        <f>'Dummy Variables'!Q175</f>
        <v>0</v>
      </c>
      <c r="J175" s="9">
        <v>143</v>
      </c>
      <c r="K175" s="9">
        <v>649340.88700559514</v>
      </c>
      <c r="L175" s="9">
        <v>33298.392994404887</v>
      </c>
    </row>
    <row r="176" spans="1:12">
      <c r="A176" s="9">
        <f>'Cleaned Data'!M176</f>
        <v>758138.29</v>
      </c>
      <c r="B176" s="9">
        <f>'Cleaned Data'!F176</f>
        <v>9826</v>
      </c>
      <c r="C176">
        <f>'Cleaned Data'!H176</f>
        <v>20</v>
      </c>
      <c r="D176">
        <f>'Cleaned Data'!E176</f>
        <v>68040.149999999994</v>
      </c>
      <c r="E176">
        <f>'Cleaned Data'!K176</f>
        <v>0</v>
      </c>
      <c r="F176">
        <f>'Dummy Variables'!O176</f>
        <v>0</v>
      </c>
      <c r="G176">
        <f>'Dummy Variables'!P176</f>
        <v>0</v>
      </c>
      <c r="H176">
        <f>'Dummy Variables'!Q176</f>
        <v>0</v>
      </c>
      <c r="J176" s="9">
        <v>144</v>
      </c>
      <c r="K176" s="9">
        <v>671666.53419543337</v>
      </c>
      <c r="L176" s="9">
        <v>23431.975804566639</v>
      </c>
    </row>
    <row r="177" spans="1:12">
      <c r="A177" s="9">
        <f>'Cleaned Data'!M177</f>
        <v>804264</v>
      </c>
      <c r="B177" s="9">
        <f>'Cleaned Data'!F177</f>
        <v>10402</v>
      </c>
      <c r="C177">
        <f>'Cleaned Data'!H177</f>
        <v>23</v>
      </c>
      <c r="D177">
        <f>'Cleaned Data'!E177</f>
        <v>63043.94</v>
      </c>
      <c r="E177">
        <f>'Cleaned Data'!K177</f>
        <v>0</v>
      </c>
      <c r="F177">
        <f>'Dummy Variables'!O177</f>
        <v>0</v>
      </c>
      <c r="G177">
        <f>'Dummy Variables'!P177</f>
        <v>0</v>
      </c>
      <c r="H177">
        <f>'Dummy Variables'!Q177</f>
        <v>0</v>
      </c>
      <c r="J177" s="9">
        <v>145</v>
      </c>
      <c r="K177" s="9">
        <v>617805.90622479701</v>
      </c>
      <c r="L177" s="9">
        <v>-40073.336224797065</v>
      </c>
    </row>
    <row r="178" spans="1:12">
      <c r="A178" s="9">
        <f>'Cleaned Data'!M178</f>
        <v>887537.75</v>
      </c>
      <c r="B178" s="9">
        <f>'Cleaned Data'!F178</f>
        <v>12361</v>
      </c>
      <c r="C178">
        <f>'Cleaned Data'!H178</f>
        <v>24</v>
      </c>
      <c r="D178">
        <f>'Cleaned Data'!E178</f>
        <v>67494.09</v>
      </c>
      <c r="E178">
        <f>'Cleaned Data'!K178</f>
        <v>1</v>
      </c>
      <c r="F178">
        <f>'Dummy Variables'!O178</f>
        <v>0</v>
      </c>
      <c r="G178">
        <f>'Dummy Variables'!P178</f>
        <v>0</v>
      </c>
      <c r="H178">
        <f>'Dummy Variables'!Q178</f>
        <v>1</v>
      </c>
      <c r="J178" s="9">
        <v>146</v>
      </c>
      <c r="K178" s="9">
        <v>563870.54379926657</v>
      </c>
      <c r="L178" s="9">
        <v>-26812.21379926661</v>
      </c>
    </row>
    <row r="179" spans="1:12">
      <c r="A179" s="9">
        <f>'Cleaned Data'!M179</f>
        <v>783582</v>
      </c>
      <c r="B179" s="9">
        <f>'Cleaned Data'!F179</f>
        <v>7925</v>
      </c>
      <c r="C179">
        <f>'Cleaned Data'!H179</f>
        <v>21</v>
      </c>
      <c r="D179">
        <f>'Cleaned Data'!E179</f>
        <v>29389.32</v>
      </c>
      <c r="E179">
        <f>'Cleaned Data'!K179</f>
        <v>0</v>
      </c>
      <c r="F179">
        <f>'Dummy Variables'!O179</f>
        <v>0</v>
      </c>
      <c r="G179">
        <f>'Dummy Variables'!P179</f>
        <v>0</v>
      </c>
      <c r="H179">
        <f>'Dummy Variables'!Q179</f>
        <v>1</v>
      </c>
      <c r="J179" s="9">
        <v>147</v>
      </c>
      <c r="K179" s="9">
        <v>603700.85489723692</v>
      </c>
      <c r="L179" s="9">
        <v>-2131.9848972369218</v>
      </c>
    </row>
    <row r="180" spans="1:12">
      <c r="A180" s="9">
        <f>'Cleaned Data'!M180</f>
        <v>781955.52</v>
      </c>
      <c r="B180" s="9">
        <f>'Cleaned Data'!F180</f>
        <v>8870</v>
      </c>
      <c r="C180">
        <f>'Cleaned Data'!H180</f>
        <v>21</v>
      </c>
      <c r="D180">
        <f>'Cleaned Data'!E180</f>
        <v>40535.089999999997</v>
      </c>
      <c r="E180">
        <f>'Cleaned Data'!K180</f>
        <v>0</v>
      </c>
      <c r="F180">
        <f>'Dummy Variables'!O180</f>
        <v>0</v>
      </c>
      <c r="G180">
        <f>'Dummy Variables'!P180</f>
        <v>0</v>
      </c>
      <c r="H180">
        <f>'Dummy Variables'!Q180</f>
        <v>1</v>
      </c>
      <c r="J180" s="9">
        <v>148</v>
      </c>
      <c r="K180" s="9">
        <v>578063.27601990977</v>
      </c>
      <c r="L180" s="9">
        <v>-7098.436019909801</v>
      </c>
    </row>
    <row r="181" spans="1:12">
      <c r="A181" s="9">
        <f>'Cleaned Data'!M181</f>
        <v>898031.04</v>
      </c>
      <c r="B181" s="9">
        <f>'Cleaned Data'!F181</f>
        <v>9999</v>
      </c>
      <c r="C181">
        <f>'Cleaned Data'!H181</f>
        <v>20</v>
      </c>
      <c r="D181">
        <f>'Cleaned Data'!E181</f>
        <v>74881.56</v>
      </c>
      <c r="E181">
        <f>'Cleaned Data'!K181</f>
        <v>0</v>
      </c>
      <c r="F181">
        <f>'Dummy Variables'!O181</f>
        <v>0</v>
      </c>
      <c r="G181">
        <f>'Dummy Variables'!P181</f>
        <v>0</v>
      </c>
      <c r="H181">
        <f>'Dummy Variables'!Q181</f>
        <v>1</v>
      </c>
      <c r="J181" s="9">
        <v>149</v>
      </c>
      <c r="K181" s="9">
        <v>649251.06756063423</v>
      </c>
      <c r="L181" s="9">
        <v>-35226.157560634194</v>
      </c>
    </row>
    <row r="182" spans="1:12">
      <c r="A182" s="9">
        <f>'Cleaned Data'!M182</f>
        <v>855341.28</v>
      </c>
      <c r="B182" s="9">
        <f>'Cleaned Data'!F182</f>
        <v>11154</v>
      </c>
      <c r="C182">
        <f>'Cleaned Data'!H182</f>
        <v>24</v>
      </c>
      <c r="D182">
        <f>'Cleaned Data'!E182</f>
        <v>68491.11</v>
      </c>
      <c r="E182">
        <f>'Cleaned Data'!K182</f>
        <v>1</v>
      </c>
      <c r="F182">
        <f>'Dummy Variables'!O182</f>
        <v>0</v>
      </c>
      <c r="G182">
        <f>'Dummy Variables'!P182</f>
        <v>0</v>
      </c>
      <c r="H182">
        <f>'Dummy Variables'!Q182</f>
        <v>1</v>
      </c>
      <c r="J182" s="9">
        <v>150</v>
      </c>
      <c r="K182" s="9">
        <v>666429.15847765538</v>
      </c>
      <c r="L182" s="9">
        <v>46439.191522344598</v>
      </c>
    </row>
    <row r="183" spans="1:12">
      <c r="A183" s="9">
        <f>'Cleaned Data'!M183</f>
        <v>751393.88</v>
      </c>
      <c r="B183" s="9">
        <f>'Cleaned Data'!F183</f>
        <v>9287</v>
      </c>
      <c r="C183">
        <f>'Cleaned Data'!H183</f>
        <v>22</v>
      </c>
      <c r="D183">
        <f>'Cleaned Data'!E183</f>
        <v>45209.25</v>
      </c>
      <c r="E183">
        <f>'Cleaned Data'!K183</f>
        <v>0</v>
      </c>
      <c r="F183">
        <f>'Dummy Variables'!O183</f>
        <v>0</v>
      </c>
      <c r="G183">
        <f>'Dummy Variables'!P183</f>
        <v>0</v>
      </c>
      <c r="H183">
        <f>'Dummy Variables'!Q183</f>
        <v>1</v>
      </c>
      <c r="J183" s="9">
        <v>151</v>
      </c>
      <c r="K183" s="9">
        <v>651339.46808129933</v>
      </c>
      <c r="L183" s="9">
        <v>45404.681918700691</v>
      </c>
    </row>
    <row r="184" spans="1:12">
      <c r="A184" s="9">
        <f>'Cleaned Data'!M184</f>
        <v>761077.08</v>
      </c>
      <c r="B184" s="9">
        <f>'Cleaned Data'!F184</f>
        <v>9812</v>
      </c>
      <c r="C184">
        <f>'Cleaned Data'!H184</f>
        <v>24</v>
      </c>
      <c r="D184">
        <f>'Cleaned Data'!E184</f>
        <v>63010.23</v>
      </c>
      <c r="E184">
        <f>'Cleaned Data'!K184</f>
        <v>1</v>
      </c>
      <c r="F184">
        <f>'Dummy Variables'!O184</f>
        <v>0</v>
      </c>
      <c r="G184">
        <f>'Dummy Variables'!P184</f>
        <v>0</v>
      </c>
      <c r="H184">
        <f>'Dummy Variables'!Q184</f>
        <v>1</v>
      </c>
      <c r="J184" s="9">
        <v>152</v>
      </c>
      <c r="K184" s="9">
        <v>684738.15392701572</v>
      </c>
      <c r="L184" s="9">
        <v>41109.836072984268</v>
      </c>
    </row>
    <row r="185" spans="1:12">
      <c r="A185" s="9">
        <f>'Cleaned Data'!M185</f>
        <v>819660.59</v>
      </c>
      <c r="B185" s="9">
        <f>'Cleaned Data'!F185</f>
        <v>10741</v>
      </c>
      <c r="C185">
        <f>'Cleaned Data'!H185</f>
        <v>25</v>
      </c>
      <c r="D185">
        <f>'Cleaned Data'!E185</f>
        <v>57948.88</v>
      </c>
      <c r="E185">
        <f>'Cleaned Data'!K185</f>
        <v>0</v>
      </c>
      <c r="F185">
        <f>'Dummy Variables'!O185</f>
        <v>0</v>
      </c>
      <c r="G185">
        <f>'Dummy Variables'!P185</f>
        <v>0</v>
      </c>
      <c r="H185">
        <f>'Dummy Variables'!Q185</f>
        <v>1</v>
      </c>
      <c r="J185" s="9">
        <v>153</v>
      </c>
      <c r="K185" s="9">
        <v>788691.15861993213</v>
      </c>
      <c r="L185" s="9">
        <v>-3662.9086199321318</v>
      </c>
    </row>
    <row r="186" spans="1:12">
      <c r="A186" s="9">
        <f>'Cleaned Data'!M186</f>
        <v>681855.56</v>
      </c>
      <c r="B186" s="9">
        <f>'Cleaned Data'!F186</f>
        <v>6084</v>
      </c>
      <c r="C186">
        <f>'Cleaned Data'!H186</f>
        <v>13</v>
      </c>
      <c r="D186">
        <f>'Cleaned Data'!E186</f>
        <v>71941.62</v>
      </c>
      <c r="E186">
        <f>'Cleaned Data'!K186</f>
        <v>0</v>
      </c>
      <c r="F186">
        <f>'Dummy Variables'!O186</f>
        <v>1</v>
      </c>
      <c r="G186">
        <f>'Dummy Variables'!P186</f>
        <v>0</v>
      </c>
      <c r="H186">
        <f>'Dummy Variables'!Q186</f>
        <v>0</v>
      </c>
      <c r="J186" s="9">
        <v>154</v>
      </c>
      <c r="K186" s="9">
        <v>682985.65183402528</v>
      </c>
      <c r="L186" s="9">
        <v>15507.018165974761</v>
      </c>
    </row>
    <row r="187" spans="1:12">
      <c r="A187" s="9">
        <f>'Cleaned Data'!M187</f>
        <v>678311.17</v>
      </c>
      <c r="B187" s="9">
        <f>'Cleaned Data'!F187</f>
        <v>5252</v>
      </c>
      <c r="C187">
        <f>'Cleaned Data'!H187</f>
        <v>15</v>
      </c>
      <c r="D187">
        <f>'Cleaned Data'!E187</f>
        <v>57147.88</v>
      </c>
      <c r="E187">
        <f>'Cleaned Data'!K187</f>
        <v>0</v>
      </c>
      <c r="F187">
        <f>'Dummy Variables'!O187</f>
        <v>1</v>
      </c>
      <c r="G187">
        <f>'Dummy Variables'!P187</f>
        <v>0</v>
      </c>
      <c r="H187">
        <f>'Dummy Variables'!Q187</f>
        <v>0</v>
      </c>
      <c r="J187" s="9">
        <v>155</v>
      </c>
      <c r="K187" s="9">
        <v>704467.86416561762</v>
      </c>
      <c r="L187" s="9">
        <v>-18637.624165617628</v>
      </c>
    </row>
    <row r="188" spans="1:12">
      <c r="A188" s="9">
        <f>'Cleaned Data'!M188</f>
        <v>765906.95</v>
      </c>
      <c r="B188" s="9">
        <f>'Cleaned Data'!F188</f>
        <v>6516</v>
      </c>
      <c r="C188">
        <f>'Cleaned Data'!H188</f>
        <v>14</v>
      </c>
      <c r="D188">
        <f>'Cleaned Data'!E188</f>
        <v>48031.74</v>
      </c>
      <c r="E188">
        <f>'Cleaned Data'!K188</f>
        <v>1</v>
      </c>
      <c r="F188">
        <f>'Dummy Variables'!O188</f>
        <v>1</v>
      </c>
      <c r="G188">
        <f>'Dummy Variables'!P188</f>
        <v>0</v>
      </c>
      <c r="H188">
        <f>'Dummy Variables'!Q188</f>
        <v>0</v>
      </c>
      <c r="J188" s="9">
        <v>156</v>
      </c>
      <c r="K188" s="9">
        <v>688574.04205880896</v>
      </c>
      <c r="L188" s="9">
        <v>13744.897941190982</v>
      </c>
    </row>
    <row r="189" spans="1:12">
      <c r="A189" s="9">
        <f>'Cleaned Data'!M189</f>
        <v>712546.38</v>
      </c>
      <c r="B189" s="9">
        <f>'Cleaned Data'!F189</f>
        <v>7932</v>
      </c>
      <c r="C189">
        <f>'Cleaned Data'!H189</f>
        <v>20</v>
      </c>
      <c r="D189">
        <f>'Cleaned Data'!E189</f>
        <v>72784.800000000003</v>
      </c>
      <c r="E189">
        <f>'Cleaned Data'!K189</f>
        <v>0</v>
      </c>
      <c r="F189">
        <f>'Dummy Variables'!O189</f>
        <v>1</v>
      </c>
      <c r="G189">
        <f>'Dummy Variables'!P189</f>
        <v>0</v>
      </c>
      <c r="H189">
        <f>'Dummy Variables'!Q189</f>
        <v>0</v>
      </c>
      <c r="J189" s="9">
        <v>157</v>
      </c>
      <c r="K189" s="9">
        <v>714493.23267576331</v>
      </c>
      <c r="L189" s="9">
        <v>-14414.912675763364</v>
      </c>
    </row>
    <row r="190" spans="1:12">
      <c r="A190" s="9">
        <f>'Cleaned Data'!M190</f>
        <v>625993.82999999996</v>
      </c>
      <c r="B190" s="9">
        <f>'Cleaned Data'!F190</f>
        <v>3506</v>
      </c>
      <c r="C190">
        <f>'Cleaned Data'!H190</f>
        <v>11</v>
      </c>
      <c r="D190">
        <f>'Cleaned Data'!E190</f>
        <v>71641.899999999994</v>
      </c>
      <c r="E190">
        <f>'Cleaned Data'!K190</f>
        <v>0</v>
      </c>
      <c r="F190">
        <f>'Dummy Variables'!O190</f>
        <v>0</v>
      </c>
      <c r="G190">
        <f>'Dummy Variables'!P190</f>
        <v>0</v>
      </c>
      <c r="H190">
        <f>'Dummy Variables'!Q190</f>
        <v>0</v>
      </c>
      <c r="J190" s="9">
        <v>158</v>
      </c>
      <c r="K190" s="9">
        <v>614830.3985365699</v>
      </c>
      <c r="L190" s="9">
        <v>-12828.078536569956</v>
      </c>
    </row>
    <row r="191" spans="1:12">
      <c r="A191" s="9">
        <f>'Cleaned Data'!M191</f>
        <v>550962.93000000005</v>
      </c>
      <c r="B191" s="9">
        <f>'Cleaned Data'!F191</f>
        <v>2312</v>
      </c>
      <c r="C191">
        <f>'Cleaned Data'!H191</f>
        <v>10</v>
      </c>
      <c r="D191">
        <f>'Cleaned Data'!E191</f>
        <v>55788.61</v>
      </c>
      <c r="E191">
        <f>'Cleaned Data'!K191</f>
        <v>0</v>
      </c>
      <c r="F191">
        <f>'Dummy Variables'!O191</f>
        <v>0</v>
      </c>
      <c r="G191">
        <f>'Dummy Variables'!P191</f>
        <v>0</v>
      </c>
      <c r="H191">
        <f>'Dummy Variables'!Q191</f>
        <v>0</v>
      </c>
      <c r="J191" s="9">
        <v>159</v>
      </c>
      <c r="K191" s="9">
        <v>695432.75441220531</v>
      </c>
      <c r="L191" s="9">
        <v>28783.315587794641</v>
      </c>
    </row>
    <row r="192" spans="1:12">
      <c r="A192" s="9">
        <f>'Cleaned Data'!M192</f>
        <v>443275.59</v>
      </c>
      <c r="B192" s="9">
        <f>'Cleaned Data'!F192</f>
        <v>1268</v>
      </c>
      <c r="C192">
        <f>'Cleaned Data'!H192</f>
        <v>9</v>
      </c>
      <c r="D192">
        <f>'Cleaned Data'!E192</f>
        <v>37705.879999999997</v>
      </c>
      <c r="E192">
        <f>'Cleaned Data'!K192</f>
        <v>0</v>
      </c>
      <c r="F192">
        <f>'Dummy Variables'!O192</f>
        <v>0</v>
      </c>
      <c r="G192">
        <f>'Dummy Variables'!P192</f>
        <v>0</v>
      </c>
      <c r="H192">
        <f>'Dummy Variables'!Q192</f>
        <v>0</v>
      </c>
      <c r="J192" s="9">
        <v>160</v>
      </c>
      <c r="K192" s="9">
        <v>550483.81138141686</v>
      </c>
      <c r="L192" s="9">
        <v>70489.218618583167</v>
      </c>
    </row>
    <row r="193" spans="1:12">
      <c r="A193" s="9">
        <f>'Cleaned Data'!M193</f>
        <v>554012.06999999995</v>
      </c>
      <c r="B193" s="9">
        <f>'Cleaned Data'!F193</f>
        <v>4423</v>
      </c>
      <c r="C193">
        <f>'Cleaned Data'!H193</f>
        <v>13</v>
      </c>
      <c r="D193">
        <f>'Cleaned Data'!E193</f>
        <v>54966.18</v>
      </c>
      <c r="E193">
        <f>'Cleaned Data'!K193</f>
        <v>0</v>
      </c>
      <c r="F193">
        <f>'Dummy Variables'!O193</f>
        <v>0</v>
      </c>
      <c r="G193">
        <f>'Dummy Variables'!P193</f>
        <v>0</v>
      </c>
      <c r="H193">
        <f>'Dummy Variables'!Q193</f>
        <v>0</v>
      </c>
      <c r="J193" s="9">
        <v>161</v>
      </c>
      <c r="K193" s="9">
        <v>697711.61109360831</v>
      </c>
      <c r="L193" s="9">
        <v>-47231.551093608257</v>
      </c>
    </row>
    <row r="194" spans="1:12">
      <c r="A194" s="9">
        <f>'Cleaned Data'!M194</f>
        <v>643428.85</v>
      </c>
      <c r="B194" s="9">
        <f>'Cleaned Data'!F194</f>
        <v>6177</v>
      </c>
      <c r="C194">
        <f>'Cleaned Data'!H194</f>
        <v>14</v>
      </c>
      <c r="D194">
        <f>'Cleaned Data'!E194</f>
        <v>81796.740000000005</v>
      </c>
      <c r="E194">
        <f>'Cleaned Data'!K194</f>
        <v>0</v>
      </c>
      <c r="F194">
        <f>'Dummy Variables'!O194</f>
        <v>0</v>
      </c>
      <c r="G194">
        <f>'Dummy Variables'!P194</f>
        <v>0</v>
      </c>
      <c r="H194">
        <f>'Dummy Variables'!Q194</f>
        <v>1</v>
      </c>
      <c r="J194" s="9">
        <v>162</v>
      </c>
      <c r="K194" s="9">
        <v>701338.58002244297</v>
      </c>
      <c r="L194" s="9">
        <v>76960.299977557035</v>
      </c>
    </row>
    <row r="195" spans="1:12">
      <c r="A195" s="9">
        <f>'Cleaned Data'!M195</f>
        <v>611924.27</v>
      </c>
      <c r="B195" s="9">
        <f>'Cleaned Data'!F195</f>
        <v>5150</v>
      </c>
      <c r="C195">
        <f>'Cleaned Data'!H195</f>
        <v>12</v>
      </c>
      <c r="D195">
        <f>'Cleaned Data'!E195</f>
        <v>51133.43</v>
      </c>
      <c r="E195">
        <f>'Cleaned Data'!K195</f>
        <v>0</v>
      </c>
      <c r="F195">
        <f>'Dummy Variables'!O195</f>
        <v>0</v>
      </c>
      <c r="G195">
        <f>'Dummy Variables'!P195</f>
        <v>0</v>
      </c>
      <c r="H195">
        <f>'Dummy Variables'!Q195</f>
        <v>1</v>
      </c>
      <c r="J195" s="9">
        <v>163</v>
      </c>
      <c r="K195" s="9">
        <v>734951.33840805071</v>
      </c>
      <c r="L195" s="9">
        <v>-57854.628408050747</v>
      </c>
    </row>
    <row r="196" spans="1:12">
      <c r="A196" s="9">
        <f>'Cleaned Data'!M196</f>
        <v>559422.02</v>
      </c>
      <c r="B196" s="9">
        <f>'Cleaned Data'!F196</f>
        <v>3783</v>
      </c>
      <c r="C196">
        <f>'Cleaned Data'!H196</f>
        <v>14</v>
      </c>
      <c r="D196">
        <f>'Cleaned Data'!E196</f>
        <v>40220.18</v>
      </c>
      <c r="E196">
        <f>'Cleaned Data'!K196</f>
        <v>0</v>
      </c>
      <c r="F196">
        <f>'Dummy Variables'!O196</f>
        <v>0</v>
      </c>
      <c r="G196">
        <f>'Dummy Variables'!P196</f>
        <v>0</v>
      </c>
      <c r="H196">
        <f>'Dummy Variables'!Q196</f>
        <v>1</v>
      </c>
      <c r="J196" s="9">
        <v>164</v>
      </c>
      <c r="K196" s="9">
        <v>692530.03663527092</v>
      </c>
      <c r="L196" s="9">
        <v>-521.39663527091034</v>
      </c>
    </row>
    <row r="197" spans="1:12">
      <c r="A197" s="9">
        <f>'Cleaned Data'!M197</f>
        <v>449465.06</v>
      </c>
      <c r="B197" s="9">
        <f>'Cleaned Data'!F197</f>
        <v>3135</v>
      </c>
      <c r="C197">
        <f>'Cleaned Data'!H197</f>
        <v>7</v>
      </c>
      <c r="D197">
        <f>'Cleaned Data'!E197</f>
        <v>41657.64</v>
      </c>
      <c r="E197">
        <f>'Cleaned Data'!K197</f>
        <v>0</v>
      </c>
      <c r="F197">
        <f>'Dummy Variables'!O197</f>
        <v>0</v>
      </c>
      <c r="G197">
        <f>'Dummy Variables'!P197</f>
        <v>0</v>
      </c>
      <c r="H197">
        <f>'Dummy Variables'!Q197</f>
        <v>1</v>
      </c>
      <c r="J197" s="9">
        <v>165</v>
      </c>
      <c r="K197" s="9">
        <v>801869.44717434573</v>
      </c>
      <c r="L197" s="9">
        <v>23928.462825654307</v>
      </c>
    </row>
    <row r="198" spans="1:12">
      <c r="A198" s="9">
        <f>'Cleaned Data'!M198</f>
        <v>691447.43</v>
      </c>
      <c r="B198" s="9">
        <f>'Cleaned Data'!F198</f>
        <v>4970</v>
      </c>
      <c r="C198">
        <f>'Cleaned Data'!H198</f>
        <v>11</v>
      </c>
      <c r="D198">
        <f>'Cleaned Data'!E198</f>
        <v>71851.45</v>
      </c>
      <c r="E198">
        <f>'Cleaned Data'!K198</f>
        <v>0</v>
      </c>
      <c r="F198">
        <f>'Dummy Variables'!O198</f>
        <v>1</v>
      </c>
      <c r="G198">
        <f>'Dummy Variables'!P198</f>
        <v>0</v>
      </c>
      <c r="H198">
        <f>'Dummy Variables'!Q198</f>
        <v>0</v>
      </c>
      <c r="J198" s="9">
        <v>166</v>
      </c>
      <c r="K198" s="9">
        <v>732075.3473449942</v>
      </c>
      <c r="L198" s="9">
        <v>-25789.827344994177</v>
      </c>
    </row>
    <row r="199" spans="1:12">
      <c r="A199" s="9">
        <f>'Cleaned Data'!M199</f>
        <v>574066.61</v>
      </c>
      <c r="B199" s="9">
        <f>'Cleaned Data'!F199</f>
        <v>4366</v>
      </c>
      <c r="C199">
        <f>'Cleaned Data'!H199</f>
        <v>15</v>
      </c>
      <c r="D199">
        <f>'Cleaned Data'!E199</f>
        <v>54002.83</v>
      </c>
      <c r="E199">
        <f>'Cleaned Data'!K199</f>
        <v>0</v>
      </c>
      <c r="F199">
        <f>'Dummy Variables'!O199</f>
        <v>1</v>
      </c>
      <c r="G199">
        <f>'Dummy Variables'!P199</f>
        <v>0</v>
      </c>
      <c r="H199">
        <f>'Dummy Variables'!Q199</f>
        <v>0</v>
      </c>
      <c r="J199" s="9">
        <v>167</v>
      </c>
      <c r="K199" s="9">
        <v>658327.23123793083</v>
      </c>
      <c r="L199" s="9">
        <v>7207.4687620691257</v>
      </c>
    </row>
    <row r="200" spans="1:12">
      <c r="A200" s="9">
        <f>'Cleaned Data'!M200</f>
        <v>578949.84</v>
      </c>
      <c r="B200" s="9">
        <f>'Cleaned Data'!F200</f>
        <v>5012</v>
      </c>
      <c r="C200">
        <f>'Cleaned Data'!H200</f>
        <v>13</v>
      </c>
      <c r="D200">
        <f>'Cleaned Data'!E200</f>
        <v>54479.33</v>
      </c>
      <c r="E200">
        <f>'Cleaned Data'!K200</f>
        <v>1</v>
      </c>
      <c r="F200">
        <f>'Dummy Variables'!O200</f>
        <v>1</v>
      </c>
      <c r="G200">
        <f>'Dummy Variables'!P200</f>
        <v>0</v>
      </c>
      <c r="H200">
        <f>'Dummy Variables'!Q200</f>
        <v>0</v>
      </c>
      <c r="J200" s="9">
        <v>168</v>
      </c>
      <c r="K200" s="9">
        <v>802490.32824728941</v>
      </c>
      <c r="L200" s="9">
        <v>18238.961752710631</v>
      </c>
    </row>
    <row r="201" spans="1:12">
      <c r="A201" s="9">
        <f>'Cleaned Data'!M201</f>
        <v>735786.64</v>
      </c>
      <c r="B201" s="9">
        <f>'Cleaned Data'!F201</f>
        <v>5575</v>
      </c>
      <c r="C201">
        <f>'Cleaned Data'!H201</f>
        <v>18</v>
      </c>
      <c r="D201">
        <f>'Cleaned Data'!E201</f>
        <v>61391.8</v>
      </c>
      <c r="E201">
        <f>'Cleaned Data'!K201</f>
        <v>0</v>
      </c>
      <c r="F201">
        <f>'Dummy Variables'!O201</f>
        <v>1</v>
      </c>
      <c r="G201">
        <f>'Dummy Variables'!P201</f>
        <v>0</v>
      </c>
      <c r="H201">
        <f>'Dummy Variables'!Q201</f>
        <v>0</v>
      </c>
      <c r="J201" s="9">
        <v>169</v>
      </c>
      <c r="K201" s="9">
        <v>773695.53118138388</v>
      </c>
      <c r="L201" s="9">
        <v>-33863.801181383897</v>
      </c>
    </row>
    <row r="202" spans="1:12">
      <c r="A202" s="9">
        <f>'Cleaned Data'!M202</f>
        <v>598904.9</v>
      </c>
      <c r="B202" s="9">
        <f>'Cleaned Data'!F202</f>
        <v>5955</v>
      </c>
      <c r="C202">
        <f>'Cleaned Data'!H202</f>
        <v>13</v>
      </c>
      <c r="D202">
        <f>'Cleaned Data'!E202</f>
        <v>22312.93</v>
      </c>
      <c r="E202">
        <f>'Cleaned Data'!K202</f>
        <v>1</v>
      </c>
      <c r="F202">
        <f>'Dummy Variables'!O202</f>
        <v>0</v>
      </c>
      <c r="G202">
        <f>'Dummy Variables'!P202</f>
        <v>0</v>
      </c>
      <c r="H202">
        <f>'Dummy Variables'!Q202</f>
        <v>0</v>
      </c>
      <c r="J202" s="9">
        <v>170</v>
      </c>
      <c r="K202" s="9">
        <v>664692.95474882599</v>
      </c>
      <c r="L202" s="9">
        <v>-71055.814748825971</v>
      </c>
    </row>
    <row r="203" spans="1:12">
      <c r="A203" s="9">
        <f>'Cleaned Data'!M203</f>
        <v>787715.51</v>
      </c>
      <c r="B203" s="9">
        <f>'Cleaned Data'!F203</f>
        <v>6389</v>
      </c>
      <c r="C203">
        <f>'Cleaned Data'!H203</f>
        <v>13</v>
      </c>
      <c r="D203">
        <f>'Cleaned Data'!E203</f>
        <v>78111.97</v>
      </c>
      <c r="E203">
        <f>'Cleaned Data'!K203</f>
        <v>0</v>
      </c>
      <c r="F203">
        <f>'Dummy Variables'!O203</f>
        <v>0</v>
      </c>
      <c r="G203">
        <f>'Dummy Variables'!P203</f>
        <v>0</v>
      </c>
      <c r="H203">
        <f>'Dummy Variables'!Q203</f>
        <v>0</v>
      </c>
      <c r="J203" s="9">
        <v>171</v>
      </c>
      <c r="K203" s="9">
        <v>739232.38891187345</v>
      </c>
      <c r="L203" s="9">
        <v>30470.371088126558</v>
      </c>
    </row>
    <row r="204" spans="1:12">
      <c r="A204" s="9">
        <f>'Cleaned Data'!M204</f>
        <v>607084.92000000004</v>
      </c>
      <c r="B204" s="9">
        <f>'Cleaned Data'!F204</f>
        <v>6896</v>
      </c>
      <c r="C204">
        <f>'Cleaned Data'!H204</f>
        <v>14</v>
      </c>
      <c r="D204">
        <f>'Cleaned Data'!E204</f>
        <v>35203.230000000003</v>
      </c>
      <c r="E204">
        <f>'Cleaned Data'!K204</f>
        <v>1</v>
      </c>
      <c r="F204">
        <f>'Dummy Variables'!O204</f>
        <v>0</v>
      </c>
      <c r="G204">
        <f>'Dummy Variables'!P204</f>
        <v>0</v>
      </c>
      <c r="H204">
        <f>'Dummy Variables'!Q204</f>
        <v>0</v>
      </c>
      <c r="J204" s="9">
        <v>172</v>
      </c>
      <c r="K204" s="9">
        <v>678694.2496016603</v>
      </c>
      <c r="L204" s="9">
        <v>1037.3203983396525</v>
      </c>
    </row>
    <row r="205" spans="1:12">
      <c r="A205" s="9">
        <f>'Cleaned Data'!M205</f>
        <v>650795.49</v>
      </c>
      <c r="B205" s="9">
        <f>'Cleaned Data'!F205</f>
        <v>6015</v>
      </c>
      <c r="C205">
        <f>'Cleaned Data'!H205</f>
        <v>15</v>
      </c>
      <c r="D205">
        <f>'Cleaned Data'!E205</f>
        <v>64104.28</v>
      </c>
      <c r="E205">
        <f>'Cleaned Data'!K205</f>
        <v>0</v>
      </c>
      <c r="F205">
        <f>'Dummy Variables'!O205</f>
        <v>0</v>
      </c>
      <c r="G205">
        <f>'Dummy Variables'!P205</f>
        <v>0</v>
      </c>
      <c r="H205">
        <f>'Dummy Variables'!Q205</f>
        <v>0</v>
      </c>
      <c r="J205" s="9">
        <v>173</v>
      </c>
      <c r="K205" s="9">
        <v>747213.60977052012</v>
      </c>
      <c r="L205" s="9">
        <v>33130.570229479927</v>
      </c>
    </row>
    <row r="206" spans="1:12">
      <c r="A206" s="9">
        <f>'Cleaned Data'!M206</f>
        <v>825060.52</v>
      </c>
      <c r="B206" s="9">
        <f>'Cleaned Data'!F206</f>
        <v>9476</v>
      </c>
      <c r="C206">
        <f>'Cleaned Data'!H206</f>
        <v>24</v>
      </c>
      <c r="D206">
        <f>'Cleaned Data'!E206</f>
        <v>92090.14</v>
      </c>
      <c r="E206">
        <f>'Cleaned Data'!K206</f>
        <v>0</v>
      </c>
      <c r="F206">
        <f>'Dummy Variables'!O206</f>
        <v>0</v>
      </c>
      <c r="G206">
        <f>'Dummy Variables'!P206</f>
        <v>0</v>
      </c>
      <c r="H206">
        <f>'Dummy Variables'!Q206</f>
        <v>0</v>
      </c>
      <c r="J206" s="9">
        <v>174</v>
      </c>
      <c r="K206" s="9">
        <v>748938.3211254793</v>
      </c>
      <c r="L206" s="9">
        <v>-27574.211125479313</v>
      </c>
    </row>
    <row r="207" spans="1:12">
      <c r="A207" s="9">
        <f>'Cleaned Data'!M207</f>
        <v>795464.47</v>
      </c>
      <c r="B207" s="9">
        <f>'Cleaned Data'!F207</f>
        <v>7875</v>
      </c>
      <c r="C207">
        <f>'Cleaned Data'!H207</f>
        <v>19</v>
      </c>
      <c r="D207">
        <f>'Cleaned Data'!E207</f>
        <v>54300.87</v>
      </c>
      <c r="E207">
        <f>'Cleaned Data'!K207</f>
        <v>0</v>
      </c>
      <c r="F207">
        <f>'Dummy Variables'!O207</f>
        <v>0</v>
      </c>
      <c r="G207">
        <f>'Dummy Variables'!P207</f>
        <v>0</v>
      </c>
      <c r="H207">
        <f>'Dummy Variables'!Q207</f>
        <v>0</v>
      </c>
      <c r="J207" s="9">
        <v>175</v>
      </c>
      <c r="K207" s="9">
        <v>782188.78686721507</v>
      </c>
      <c r="L207" s="9">
        <v>-24050.496867215028</v>
      </c>
    </row>
    <row r="208" spans="1:12">
      <c r="A208" s="9">
        <f>'Cleaned Data'!M208</f>
        <v>671868.59</v>
      </c>
      <c r="B208" s="9">
        <f>'Cleaned Data'!F208</f>
        <v>9283</v>
      </c>
      <c r="C208">
        <f>'Cleaned Data'!H208</f>
        <v>19</v>
      </c>
      <c r="D208">
        <f>'Cleaned Data'!E208</f>
        <v>37983.35</v>
      </c>
      <c r="E208">
        <f>'Cleaned Data'!K208</f>
        <v>0</v>
      </c>
      <c r="F208">
        <f>'Dummy Variables'!O208</f>
        <v>0</v>
      </c>
      <c r="G208">
        <f>'Dummy Variables'!P208</f>
        <v>0</v>
      </c>
      <c r="H208">
        <f>'Dummy Variables'!Q208</f>
        <v>0</v>
      </c>
      <c r="J208" s="9">
        <v>176</v>
      </c>
      <c r="K208" s="9">
        <v>800314.56257638813</v>
      </c>
      <c r="L208" s="9">
        <v>3949.4374236118747</v>
      </c>
    </row>
    <row r="209" spans="1:12">
      <c r="A209" s="9">
        <f>'Cleaned Data'!M209</f>
        <v>675917.63</v>
      </c>
      <c r="B209" s="9">
        <f>'Cleaned Data'!F209</f>
        <v>8303</v>
      </c>
      <c r="C209">
        <f>'Cleaned Data'!H209</f>
        <v>18</v>
      </c>
      <c r="D209">
        <f>'Cleaned Data'!E209</f>
        <v>56413.83</v>
      </c>
      <c r="E209">
        <f>'Cleaned Data'!K209</f>
        <v>0</v>
      </c>
      <c r="F209">
        <f>'Dummy Variables'!O209</f>
        <v>0</v>
      </c>
      <c r="G209">
        <f>'Dummy Variables'!P209</f>
        <v>0</v>
      </c>
      <c r="H209">
        <f>'Dummy Variables'!Q209</f>
        <v>0</v>
      </c>
      <c r="J209" s="9">
        <v>177</v>
      </c>
      <c r="K209" s="9">
        <v>898899.87500772392</v>
      </c>
      <c r="L209" s="9">
        <v>-11362.125007723924</v>
      </c>
    </row>
    <row r="210" spans="1:12">
      <c r="A210" s="9">
        <f>'Cleaned Data'!M210</f>
        <v>810446.53</v>
      </c>
      <c r="B210" s="9">
        <f>'Cleaned Data'!F210</f>
        <v>10125</v>
      </c>
      <c r="C210">
        <f>'Cleaned Data'!H210</f>
        <v>24</v>
      </c>
      <c r="D210">
        <f>'Cleaned Data'!E210</f>
        <v>63457.19</v>
      </c>
      <c r="E210">
        <f>'Cleaned Data'!K210</f>
        <v>1</v>
      </c>
      <c r="F210">
        <f>'Dummy Variables'!O210</f>
        <v>0</v>
      </c>
      <c r="G210">
        <f>'Dummy Variables'!P210</f>
        <v>0</v>
      </c>
      <c r="H210">
        <f>'Dummy Variables'!Q210</f>
        <v>0</v>
      </c>
      <c r="J210" s="9">
        <v>178</v>
      </c>
      <c r="K210" s="9">
        <v>706422.28695040231</v>
      </c>
      <c r="L210" s="9">
        <v>77159.713049597689</v>
      </c>
    </row>
    <row r="211" spans="1:12">
      <c r="A211" s="9">
        <f>'Cleaned Data'!M211</f>
        <v>691288.19</v>
      </c>
      <c r="B211" s="9">
        <f>'Cleaned Data'!F211</f>
        <v>9458</v>
      </c>
      <c r="C211">
        <f>'Cleaned Data'!H211</f>
        <v>19</v>
      </c>
      <c r="D211">
        <f>'Cleaned Data'!E211</f>
        <v>62949.7</v>
      </c>
      <c r="E211">
        <f>'Cleaned Data'!K211</f>
        <v>0</v>
      </c>
      <c r="F211">
        <f>'Dummy Variables'!O211</f>
        <v>0</v>
      </c>
      <c r="G211">
        <f>'Dummy Variables'!P211</f>
        <v>0</v>
      </c>
      <c r="H211">
        <f>'Dummy Variables'!Q211</f>
        <v>0</v>
      </c>
      <c r="J211" s="9">
        <v>179</v>
      </c>
      <c r="K211" s="9">
        <v>746780.92688153707</v>
      </c>
      <c r="L211" s="9">
        <v>35174.593118462944</v>
      </c>
    </row>
    <row r="212" spans="1:12">
      <c r="A212" s="9">
        <f>'Cleaned Data'!M212</f>
        <v>946833.54</v>
      </c>
      <c r="B212" s="9">
        <f>'Cleaned Data'!F212</f>
        <v>12870</v>
      </c>
      <c r="C212">
        <f>'Cleaned Data'!H212</f>
        <v>31</v>
      </c>
      <c r="D212">
        <f>'Cleaned Data'!E212</f>
        <v>107970.19</v>
      </c>
      <c r="E212">
        <f>'Cleaned Data'!K212</f>
        <v>1</v>
      </c>
      <c r="F212">
        <f>'Dummy Variables'!O212</f>
        <v>0</v>
      </c>
      <c r="G212">
        <f>'Dummy Variables'!P212</f>
        <v>0</v>
      </c>
      <c r="H212">
        <f>'Dummy Variables'!Q212</f>
        <v>0</v>
      </c>
      <c r="J212" s="9">
        <v>180</v>
      </c>
      <c r="K212" s="9">
        <v>816596.67869847664</v>
      </c>
      <c r="L212" s="9">
        <v>81434.3613015234</v>
      </c>
    </row>
    <row r="213" spans="1:12">
      <c r="A213" s="9">
        <f>'Cleaned Data'!M213</f>
        <v>761963.23</v>
      </c>
      <c r="B213" s="9">
        <f>'Cleaned Data'!F213</f>
        <v>9752</v>
      </c>
      <c r="C213">
        <f>'Cleaned Data'!H213</f>
        <v>21</v>
      </c>
      <c r="D213">
        <f>'Cleaned Data'!E213</f>
        <v>49405.75</v>
      </c>
      <c r="E213">
        <f>'Cleaned Data'!K213</f>
        <v>0</v>
      </c>
      <c r="F213">
        <f>'Dummy Variables'!O213</f>
        <v>0</v>
      </c>
      <c r="G213">
        <f>'Dummy Variables'!P213</f>
        <v>0</v>
      </c>
      <c r="H213">
        <f>'Dummy Variables'!Q213</f>
        <v>0</v>
      </c>
      <c r="J213" s="9">
        <v>181</v>
      </c>
      <c r="K213" s="9">
        <v>864669.60563825734</v>
      </c>
      <c r="L213" s="9">
        <v>-9328.3256382573163</v>
      </c>
    </row>
    <row r="214" spans="1:12">
      <c r="A214" s="9">
        <f>'Cleaned Data'!M214</f>
        <v>812152.6</v>
      </c>
      <c r="B214" s="9">
        <f>'Cleaned Data'!F214</f>
        <v>9505</v>
      </c>
      <c r="C214">
        <f>'Cleaned Data'!H214</f>
        <v>25</v>
      </c>
      <c r="D214">
        <f>'Cleaned Data'!E214</f>
        <v>50887.46</v>
      </c>
      <c r="E214">
        <f>'Cleaned Data'!K214</f>
        <v>0</v>
      </c>
      <c r="F214">
        <f>'Dummy Variables'!O214</f>
        <v>0</v>
      </c>
      <c r="G214">
        <f>'Dummy Variables'!P214</f>
        <v>0</v>
      </c>
      <c r="H214">
        <f>'Dummy Variables'!Q214</f>
        <v>1</v>
      </c>
      <c r="J214" s="9">
        <v>182</v>
      </c>
      <c r="K214" s="9">
        <v>766622.30767884583</v>
      </c>
      <c r="L214" s="9">
        <v>-15228.427678845823</v>
      </c>
    </row>
    <row r="215" spans="1:12">
      <c r="A215" s="9">
        <f>'Cleaned Data'!M215</f>
        <v>804975.5</v>
      </c>
      <c r="B215" s="9">
        <f>'Cleaned Data'!F215</f>
        <v>9412</v>
      </c>
      <c r="C215">
        <f>'Cleaned Data'!H215</f>
        <v>22</v>
      </c>
      <c r="D215">
        <f>'Cleaned Data'!E215</f>
        <v>41819.449999999997</v>
      </c>
      <c r="E215">
        <f>'Cleaned Data'!K215</f>
        <v>0</v>
      </c>
      <c r="F215">
        <f>'Dummy Variables'!O215</f>
        <v>0</v>
      </c>
      <c r="G215">
        <f>'Dummy Variables'!P215</f>
        <v>0</v>
      </c>
      <c r="H215">
        <f>'Dummy Variables'!Q215</f>
        <v>1</v>
      </c>
      <c r="J215" s="9">
        <v>183</v>
      </c>
      <c r="K215" s="9">
        <v>819119.50986460596</v>
      </c>
      <c r="L215" s="9">
        <v>-58042.429864606005</v>
      </c>
    </row>
    <row r="216" spans="1:12">
      <c r="A216" s="9">
        <f>'Cleaned Data'!M216</f>
        <v>752321.72</v>
      </c>
      <c r="B216" s="9">
        <f>'Cleaned Data'!F216</f>
        <v>9644</v>
      </c>
      <c r="C216">
        <f>'Cleaned Data'!H216</f>
        <v>22</v>
      </c>
      <c r="D216">
        <f>'Cleaned Data'!E216</f>
        <v>35296.54</v>
      </c>
      <c r="E216">
        <f>'Cleaned Data'!K216</f>
        <v>0</v>
      </c>
      <c r="F216">
        <f>'Dummy Variables'!O216</f>
        <v>0</v>
      </c>
      <c r="G216">
        <f>'Dummy Variables'!P216</f>
        <v>0</v>
      </c>
      <c r="H216">
        <f>'Dummy Variables'!Q216</f>
        <v>1</v>
      </c>
      <c r="J216" s="9">
        <v>184</v>
      </c>
      <c r="K216" s="9">
        <v>830635.69855217903</v>
      </c>
      <c r="L216" s="9">
        <v>-10975.108552179066</v>
      </c>
    </row>
    <row r="217" spans="1:12">
      <c r="A217" s="9">
        <f>'Cleaned Data'!M217</f>
        <v>836908.24</v>
      </c>
      <c r="B217" s="9">
        <f>'Cleaned Data'!F217</f>
        <v>11224</v>
      </c>
      <c r="C217">
        <f>'Cleaned Data'!H217</f>
        <v>25</v>
      </c>
      <c r="D217">
        <f>'Cleaned Data'!E217</f>
        <v>47391.09</v>
      </c>
      <c r="E217">
        <f>'Cleaned Data'!K217</f>
        <v>0</v>
      </c>
      <c r="F217">
        <f>'Dummy Variables'!O217</f>
        <v>0</v>
      </c>
      <c r="G217">
        <f>'Dummy Variables'!P217</f>
        <v>0</v>
      </c>
      <c r="H217">
        <f>'Dummy Variables'!Q217</f>
        <v>1</v>
      </c>
      <c r="J217" s="9">
        <v>185</v>
      </c>
      <c r="K217" s="9">
        <v>673685.72736837598</v>
      </c>
      <c r="L217" s="9">
        <v>8169.8326316240709</v>
      </c>
    </row>
    <row r="218" spans="1:12">
      <c r="A218" s="9">
        <f>'Cleaned Data'!M218</f>
        <v>674289.1</v>
      </c>
      <c r="B218" s="9">
        <f>'Cleaned Data'!F218</f>
        <v>5394</v>
      </c>
      <c r="C218">
        <f>'Cleaned Data'!H218</f>
        <v>12</v>
      </c>
      <c r="D218">
        <f>'Cleaned Data'!E218</f>
        <v>69180.539999999994</v>
      </c>
      <c r="E218">
        <f>'Cleaned Data'!K218</f>
        <v>0</v>
      </c>
      <c r="F218">
        <f>'Dummy Variables'!O218</f>
        <v>1</v>
      </c>
      <c r="G218">
        <f>'Dummy Variables'!P218</f>
        <v>0</v>
      </c>
      <c r="H218">
        <f>'Dummy Variables'!Q218</f>
        <v>0</v>
      </c>
      <c r="J218" s="9">
        <v>186</v>
      </c>
      <c r="K218" s="9">
        <v>637110.37154880876</v>
      </c>
      <c r="L218" s="9">
        <v>41200.79845119128</v>
      </c>
    </row>
    <row r="219" spans="1:12">
      <c r="A219" s="9">
        <f>'Cleaned Data'!M219</f>
        <v>622892.42000000004</v>
      </c>
      <c r="B219" s="9">
        <f>'Cleaned Data'!F219</f>
        <v>5014</v>
      </c>
      <c r="C219">
        <f>'Cleaned Data'!H219</f>
        <v>17</v>
      </c>
      <c r="D219">
        <f>'Cleaned Data'!E219</f>
        <v>33987.33</v>
      </c>
      <c r="E219">
        <f>'Cleaned Data'!K219</f>
        <v>0</v>
      </c>
      <c r="F219">
        <f>'Dummy Variables'!O219</f>
        <v>1</v>
      </c>
      <c r="G219">
        <f>'Dummy Variables'!P219</f>
        <v>0</v>
      </c>
      <c r="H219">
        <f>'Dummy Variables'!Q219</f>
        <v>0</v>
      </c>
      <c r="J219" s="9">
        <v>187</v>
      </c>
      <c r="K219" s="9">
        <v>673728.7690611931</v>
      </c>
      <c r="L219" s="9">
        <v>92178.18093880685</v>
      </c>
    </row>
    <row r="220" spans="1:12">
      <c r="A220" s="9">
        <f>'Cleaned Data'!M220</f>
        <v>673348.56</v>
      </c>
      <c r="B220" s="9">
        <f>'Cleaned Data'!F220</f>
        <v>4467</v>
      </c>
      <c r="C220">
        <f>'Cleaned Data'!H220</f>
        <v>14</v>
      </c>
      <c r="D220">
        <f>'Cleaned Data'!E220</f>
        <v>58785.33</v>
      </c>
      <c r="E220">
        <f>'Cleaned Data'!K220</f>
        <v>0</v>
      </c>
      <c r="F220">
        <f>'Dummy Variables'!O220</f>
        <v>1</v>
      </c>
      <c r="G220">
        <f>'Dummy Variables'!P220</f>
        <v>0</v>
      </c>
      <c r="H220">
        <f>'Dummy Variables'!Q220</f>
        <v>0</v>
      </c>
      <c r="J220" s="9">
        <v>188</v>
      </c>
      <c r="K220" s="9">
        <v>744957.75281300477</v>
      </c>
      <c r="L220" s="9">
        <v>-32411.372813004768</v>
      </c>
    </row>
    <row r="221" spans="1:12">
      <c r="A221" s="9">
        <f>'Cleaned Data'!M221</f>
        <v>606278.30000000005</v>
      </c>
      <c r="B221" s="9">
        <f>'Cleaned Data'!F221</f>
        <v>4678</v>
      </c>
      <c r="C221">
        <f>'Cleaned Data'!H221</f>
        <v>11</v>
      </c>
      <c r="D221">
        <f>'Cleaned Data'!E221</f>
        <v>16451.849999999999</v>
      </c>
      <c r="E221">
        <f>'Cleaned Data'!K221</f>
        <v>0</v>
      </c>
      <c r="F221">
        <f>'Dummy Variables'!O221</f>
        <v>1</v>
      </c>
      <c r="G221">
        <f>'Dummy Variables'!P221</f>
        <v>0</v>
      </c>
      <c r="H221">
        <f>'Dummy Variables'!Q221</f>
        <v>0</v>
      </c>
      <c r="J221" s="9">
        <v>189</v>
      </c>
      <c r="K221" s="9">
        <v>580325.70978150482</v>
      </c>
      <c r="L221" s="9">
        <v>45668.12021849514</v>
      </c>
    </row>
    <row r="222" spans="1:12">
      <c r="A222" s="9">
        <f>'Cleaned Data'!M222</f>
        <v>712219.81</v>
      </c>
      <c r="B222" s="9">
        <f>'Cleaned Data'!F222</f>
        <v>7291</v>
      </c>
      <c r="C222">
        <f>'Cleaned Data'!H222</f>
        <v>18</v>
      </c>
      <c r="D222">
        <f>'Cleaned Data'!E222</f>
        <v>53367.73</v>
      </c>
      <c r="E222">
        <f>'Cleaned Data'!K222</f>
        <v>1</v>
      </c>
      <c r="F222">
        <f>'Dummy Variables'!O222</f>
        <v>0</v>
      </c>
      <c r="G222">
        <f>'Dummy Variables'!P222</f>
        <v>0</v>
      </c>
      <c r="H222">
        <f>'Dummy Variables'!Q222</f>
        <v>0</v>
      </c>
      <c r="J222" s="9">
        <v>190</v>
      </c>
      <c r="K222" s="9">
        <v>525009.97452737996</v>
      </c>
      <c r="L222" s="9">
        <v>25952.955472620088</v>
      </c>
    </row>
    <row r="223" spans="1:12">
      <c r="A223" s="9">
        <f>'Cleaned Data'!M223</f>
        <v>672670.54</v>
      </c>
      <c r="B223" s="9">
        <f>'Cleaned Data'!F223</f>
        <v>7404</v>
      </c>
      <c r="C223">
        <f>'Cleaned Data'!H223</f>
        <v>18</v>
      </c>
      <c r="D223">
        <f>'Cleaned Data'!E223</f>
        <v>27194.639999999999</v>
      </c>
      <c r="E223">
        <f>'Cleaned Data'!K223</f>
        <v>0</v>
      </c>
      <c r="F223">
        <f>'Dummy Variables'!O223</f>
        <v>0</v>
      </c>
      <c r="G223">
        <f>'Dummy Variables'!P223</f>
        <v>0</v>
      </c>
      <c r="H223">
        <f>'Dummy Variables'!Q223</f>
        <v>0</v>
      </c>
      <c r="J223" s="9">
        <v>191</v>
      </c>
      <c r="K223" s="9">
        <v>471554.50515187171</v>
      </c>
      <c r="L223" s="9">
        <v>-28278.915151871683</v>
      </c>
    </row>
    <row r="224" spans="1:12">
      <c r="A224" s="9">
        <f>'Cleaned Data'!M224</f>
        <v>732667.92</v>
      </c>
      <c r="B224" s="9">
        <f>'Cleaned Data'!F224</f>
        <v>7880</v>
      </c>
      <c r="C224">
        <f>'Cleaned Data'!H224</f>
        <v>19</v>
      </c>
      <c r="D224">
        <f>'Cleaned Data'!E224</f>
        <v>66962.740000000005</v>
      </c>
      <c r="E224">
        <f>'Cleaned Data'!K224</f>
        <v>0</v>
      </c>
      <c r="F224">
        <f>'Dummy Variables'!O224</f>
        <v>0</v>
      </c>
      <c r="G224">
        <f>'Dummy Variables'!P224</f>
        <v>0</v>
      </c>
      <c r="H224">
        <f>'Dummy Variables'!Q224</f>
        <v>0</v>
      </c>
      <c r="J224" s="9">
        <v>192</v>
      </c>
      <c r="K224" s="9">
        <v>592854.53682766668</v>
      </c>
      <c r="L224" s="9">
        <v>-38842.466827666736</v>
      </c>
    </row>
    <row r="225" spans="1:12">
      <c r="A225" s="9">
        <f>'Cleaned Data'!M225</f>
        <v>723531.4</v>
      </c>
      <c r="B225" s="9">
        <f>'Cleaned Data'!F225</f>
        <v>8773</v>
      </c>
      <c r="C225">
        <f>'Cleaned Data'!H225</f>
        <v>21</v>
      </c>
      <c r="D225">
        <f>'Cleaned Data'!E225</f>
        <v>73540.990000000005</v>
      </c>
      <c r="E225">
        <f>'Cleaned Data'!K225</f>
        <v>0</v>
      </c>
      <c r="F225">
        <f>'Dummy Variables'!O225</f>
        <v>0</v>
      </c>
      <c r="G225">
        <f>'Dummy Variables'!P225</f>
        <v>0</v>
      </c>
      <c r="H225">
        <f>'Dummy Variables'!Q225</f>
        <v>0</v>
      </c>
      <c r="J225" s="9">
        <v>193</v>
      </c>
      <c r="K225" s="9">
        <v>698618.73090357683</v>
      </c>
      <c r="L225" s="9">
        <v>-55189.88090357685</v>
      </c>
    </row>
    <row r="226" spans="1:12">
      <c r="A226" s="9">
        <f>'Cleaned Data'!M226</f>
        <v>641564.6</v>
      </c>
      <c r="B226" s="9">
        <f>'Cleaned Data'!F226</f>
        <v>4713</v>
      </c>
      <c r="C226">
        <f>'Cleaned Data'!H226</f>
        <v>15</v>
      </c>
      <c r="D226">
        <f>'Cleaned Data'!E226</f>
        <v>68212.289999999994</v>
      </c>
      <c r="E226">
        <f>'Cleaned Data'!K226</f>
        <v>1</v>
      </c>
      <c r="F226">
        <f>'Dummy Variables'!O226</f>
        <v>0</v>
      </c>
      <c r="G226">
        <f>'Dummy Variables'!P226</f>
        <v>0</v>
      </c>
      <c r="H226">
        <f>'Dummy Variables'!Q226</f>
        <v>0</v>
      </c>
      <c r="J226" s="9">
        <v>194</v>
      </c>
      <c r="K226" s="9">
        <v>629049.08478827344</v>
      </c>
      <c r="L226" s="9">
        <v>-17124.814788273419</v>
      </c>
    </row>
    <row r="227" spans="1:12">
      <c r="A227" s="9">
        <f>'Cleaned Data'!M227</f>
        <v>536545.49</v>
      </c>
      <c r="B227" s="9">
        <f>'Cleaned Data'!F227</f>
        <v>2842</v>
      </c>
      <c r="C227">
        <f>'Cleaned Data'!H227</f>
        <v>10</v>
      </c>
      <c r="D227">
        <f>'Cleaned Data'!E227</f>
        <v>57225.98</v>
      </c>
      <c r="E227">
        <f>'Cleaned Data'!K227</f>
        <v>0</v>
      </c>
      <c r="F227">
        <f>'Dummy Variables'!O227</f>
        <v>0</v>
      </c>
      <c r="G227">
        <f>'Dummy Variables'!P227</f>
        <v>0</v>
      </c>
      <c r="H227">
        <f>'Dummy Variables'!Q227</f>
        <v>0</v>
      </c>
      <c r="J227" s="9">
        <v>195</v>
      </c>
      <c r="K227" s="9">
        <v>581210.41172913217</v>
      </c>
      <c r="L227" s="9">
        <v>-21788.391729132156</v>
      </c>
    </row>
    <row r="228" spans="1:12">
      <c r="A228" s="9">
        <f>'Cleaned Data'!M228</f>
        <v>527681.56000000006</v>
      </c>
      <c r="B228" s="9">
        <f>'Cleaned Data'!F228</f>
        <v>3872</v>
      </c>
      <c r="C228">
        <f>'Cleaned Data'!H228</f>
        <v>12</v>
      </c>
      <c r="D228">
        <f>'Cleaned Data'!E228</f>
        <v>42932.02</v>
      </c>
      <c r="E228">
        <f>'Cleaned Data'!K228</f>
        <v>0</v>
      </c>
      <c r="F228">
        <f>'Dummy Variables'!O228</f>
        <v>0</v>
      </c>
      <c r="G228">
        <f>'Dummy Variables'!P228</f>
        <v>0</v>
      </c>
      <c r="H228">
        <f>'Dummy Variables'!Q228</f>
        <v>0</v>
      </c>
      <c r="J228" s="9">
        <v>196</v>
      </c>
      <c r="K228" s="9">
        <v>547689.81051122025</v>
      </c>
      <c r="L228" s="9">
        <v>-98224.750511220249</v>
      </c>
    </row>
    <row r="229" spans="1:12">
      <c r="A229" s="9">
        <f>'Cleaned Data'!M229</f>
        <v>529598.93999999994</v>
      </c>
      <c r="B229" s="9">
        <f>'Cleaned Data'!F229</f>
        <v>1375</v>
      </c>
      <c r="C229">
        <f>'Cleaned Data'!H229</f>
        <v>5</v>
      </c>
      <c r="D229">
        <f>'Cleaned Data'!E229</f>
        <v>39341.449999999997</v>
      </c>
      <c r="E229">
        <f>'Cleaned Data'!K229</f>
        <v>0</v>
      </c>
      <c r="F229">
        <f>'Dummy Variables'!O229</f>
        <v>0</v>
      </c>
      <c r="G229">
        <f>'Dummy Variables'!P229</f>
        <v>0</v>
      </c>
      <c r="H229">
        <f>'Dummy Variables'!Q229</f>
        <v>0</v>
      </c>
      <c r="J229" s="9">
        <v>197</v>
      </c>
      <c r="K229" s="9">
        <v>636324.51906469604</v>
      </c>
      <c r="L229" s="9">
        <v>55122.910935304011</v>
      </c>
    </row>
    <row r="230" spans="1:12">
      <c r="A230" s="9">
        <f>'Cleaned Data'!M230</f>
        <v>570963.31000000006</v>
      </c>
      <c r="B230" s="9">
        <f>'Cleaned Data'!F230</f>
        <v>5957</v>
      </c>
      <c r="C230">
        <f>'Cleaned Data'!H230</f>
        <v>12</v>
      </c>
      <c r="D230">
        <f>'Cleaned Data'!E230</f>
        <v>37324.230000000003</v>
      </c>
      <c r="E230">
        <f>'Cleaned Data'!K230</f>
        <v>0</v>
      </c>
      <c r="F230">
        <f>'Dummy Variables'!O230</f>
        <v>0</v>
      </c>
      <c r="G230">
        <f>'Dummy Variables'!P230</f>
        <v>0</v>
      </c>
      <c r="H230">
        <f>'Dummy Variables'!Q230</f>
        <v>0</v>
      </c>
      <c r="J230" s="9">
        <v>198</v>
      </c>
      <c r="K230" s="9">
        <v>607576.07957458124</v>
      </c>
      <c r="L230" s="9">
        <v>-33509.46957458125</v>
      </c>
    </row>
    <row r="231" spans="1:12">
      <c r="A231" s="9">
        <f>'Cleaned Data'!M231</f>
        <v>870937.4</v>
      </c>
      <c r="B231" s="9">
        <f>'Cleaned Data'!F231</f>
        <v>8961</v>
      </c>
      <c r="C231">
        <f>'Cleaned Data'!H231</f>
        <v>24</v>
      </c>
      <c r="D231">
        <f>'Cleaned Data'!E231</f>
        <v>113736</v>
      </c>
      <c r="E231">
        <f>'Cleaned Data'!K231</f>
        <v>0</v>
      </c>
      <c r="F231">
        <f>'Dummy Variables'!O231</f>
        <v>0</v>
      </c>
      <c r="G231">
        <f>'Dummy Variables'!P231</f>
        <v>0</v>
      </c>
      <c r="H231">
        <f>'Dummy Variables'!Q231</f>
        <v>0</v>
      </c>
      <c r="J231" s="9">
        <v>199</v>
      </c>
      <c r="K231" s="9">
        <v>634683.40447866777</v>
      </c>
      <c r="L231" s="9">
        <v>-55733.564478667802</v>
      </c>
    </row>
    <row r="232" spans="1:12">
      <c r="A232" s="9">
        <f>'Cleaned Data'!M232</f>
        <v>596969.27</v>
      </c>
      <c r="B232" s="9">
        <f>'Cleaned Data'!F232</f>
        <v>6545</v>
      </c>
      <c r="C232">
        <f>'Cleaned Data'!H232</f>
        <v>15</v>
      </c>
      <c r="D232">
        <f>'Cleaned Data'!E232</f>
        <v>33173.949999999997</v>
      </c>
      <c r="E232">
        <f>'Cleaned Data'!K232</f>
        <v>0</v>
      </c>
      <c r="F232">
        <f>'Dummy Variables'!O232</f>
        <v>0</v>
      </c>
      <c r="G232">
        <f>'Dummy Variables'!P232</f>
        <v>0</v>
      </c>
      <c r="H232">
        <f>'Dummy Variables'!Q232</f>
        <v>0</v>
      </c>
      <c r="J232" s="9">
        <v>200</v>
      </c>
      <c r="K232" s="9">
        <v>658328.28395175328</v>
      </c>
      <c r="L232" s="9">
        <v>77458.356048246729</v>
      </c>
    </row>
    <row r="233" spans="1:12">
      <c r="A233" s="9">
        <f>'Cleaned Data'!M233</f>
        <v>647512.85</v>
      </c>
      <c r="B233" s="9">
        <f>'Cleaned Data'!F233</f>
        <v>5457</v>
      </c>
      <c r="C233">
        <f>'Cleaned Data'!H233</f>
        <v>11</v>
      </c>
      <c r="D233">
        <f>'Cleaned Data'!E233</f>
        <v>25818.080000000002</v>
      </c>
      <c r="E233">
        <f>'Cleaned Data'!K233</f>
        <v>0</v>
      </c>
      <c r="F233">
        <f>'Dummy Variables'!O233</f>
        <v>0</v>
      </c>
      <c r="G233">
        <f>'Dummy Variables'!P233</f>
        <v>0</v>
      </c>
      <c r="H233">
        <f>'Dummy Variables'!Q233</f>
        <v>0</v>
      </c>
      <c r="J233" s="9">
        <v>201</v>
      </c>
      <c r="K233" s="9">
        <v>612876.46273022192</v>
      </c>
      <c r="L233" s="9">
        <v>-13971.562730221893</v>
      </c>
    </row>
    <row r="234" spans="1:12">
      <c r="A234" s="9">
        <f>'Cleaned Data'!M234</f>
        <v>658072.14</v>
      </c>
      <c r="B234" s="9">
        <f>'Cleaned Data'!F234</f>
        <v>4264</v>
      </c>
      <c r="C234">
        <f>'Cleaned Data'!H234</f>
        <v>13</v>
      </c>
      <c r="D234">
        <f>'Cleaned Data'!E234</f>
        <v>47241.919999999998</v>
      </c>
      <c r="E234">
        <f>'Cleaned Data'!K234</f>
        <v>0</v>
      </c>
      <c r="F234">
        <f>'Dummy Variables'!O234</f>
        <v>0</v>
      </c>
      <c r="G234">
        <f>'Dummy Variables'!P234</f>
        <v>0</v>
      </c>
      <c r="H234">
        <f>'Dummy Variables'!Q234</f>
        <v>1</v>
      </c>
      <c r="J234" s="9">
        <v>202</v>
      </c>
      <c r="K234" s="9">
        <v>676769.69560976652</v>
      </c>
      <c r="L234" s="9">
        <v>110945.81439023349</v>
      </c>
    </row>
    <row r="235" spans="1:12">
      <c r="A235" s="9">
        <f>'Cleaned Data'!M235</f>
        <v>723305.11</v>
      </c>
      <c r="B235" s="9">
        <f>'Cleaned Data'!F235</f>
        <v>5321</v>
      </c>
      <c r="C235">
        <f>'Cleaned Data'!H235</f>
        <v>17</v>
      </c>
      <c r="D235">
        <f>'Cleaned Data'!E235</f>
        <v>61650.79</v>
      </c>
      <c r="E235">
        <f>'Cleaned Data'!K235</f>
        <v>0</v>
      </c>
      <c r="F235">
        <f>'Dummy Variables'!O235</f>
        <v>0</v>
      </c>
      <c r="G235">
        <f>'Dummy Variables'!P235</f>
        <v>0</v>
      </c>
      <c r="H235">
        <f>'Dummy Variables'!Q235</f>
        <v>1</v>
      </c>
      <c r="J235" s="9">
        <v>203</v>
      </c>
      <c r="K235" s="9">
        <v>657411.07168854983</v>
      </c>
      <c r="L235" s="9">
        <v>-50326.151688549784</v>
      </c>
    </row>
    <row r="236" spans="1:12">
      <c r="A236" s="9">
        <f>'Cleaned Data'!M236</f>
        <v>640666.53</v>
      </c>
      <c r="B236" s="9">
        <f>'Cleaned Data'!F236</f>
        <v>5479</v>
      </c>
      <c r="C236">
        <f>'Cleaned Data'!H236</f>
        <v>16</v>
      </c>
      <c r="D236">
        <f>'Cleaned Data'!E236</f>
        <v>62582.71</v>
      </c>
      <c r="E236">
        <f>'Cleaned Data'!K236</f>
        <v>0</v>
      </c>
      <c r="F236">
        <f>'Dummy Variables'!O236</f>
        <v>0</v>
      </c>
      <c r="G236">
        <f>'Dummy Variables'!P236</f>
        <v>0</v>
      </c>
      <c r="H236">
        <f>'Dummy Variables'!Q236</f>
        <v>1</v>
      </c>
      <c r="J236" s="9">
        <v>204</v>
      </c>
      <c r="K236" s="9">
        <v>654506.85540484206</v>
      </c>
      <c r="L236" s="9">
        <v>-3711.3654048420722</v>
      </c>
    </row>
    <row r="237" spans="1:12">
      <c r="A237" s="9">
        <f>'Cleaned Data'!M237</f>
        <v>670629.48</v>
      </c>
      <c r="B237" s="9">
        <f>'Cleaned Data'!F237</f>
        <v>6169</v>
      </c>
      <c r="C237">
        <f>'Cleaned Data'!H237</f>
        <v>17</v>
      </c>
      <c r="D237">
        <f>'Cleaned Data'!E237</f>
        <v>47944.14</v>
      </c>
      <c r="E237">
        <f>'Cleaned Data'!K237</f>
        <v>0</v>
      </c>
      <c r="F237">
        <f>'Dummy Variables'!O237</f>
        <v>0</v>
      </c>
      <c r="G237">
        <f>'Dummy Variables'!P237</f>
        <v>0</v>
      </c>
      <c r="H237">
        <f>'Dummy Variables'!Q237</f>
        <v>1</v>
      </c>
      <c r="J237" s="9">
        <v>205</v>
      </c>
      <c r="K237" s="9">
        <v>808515.19803381059</v>
      </c>
      <c r="L237" s="9">
        <v>16545.321966189425</v>
      </c>
    </row>
    <row r="238" spans="1:12">
      <c r="A238" s="9">
        <f>'Cleaned Data'!M238</f>
        <v>721079.35</v>
      </c>
      <c r="B238" s="9">
        <f>'Cleaned Data'!F238</f>
        <v>9908</v>
      </c>
      <c r="C238">
        <f>'Cleaned Data'!H238</f>
        <v>22</v>
      </c>
      <c r="D238">
        <f>'Cleaned Data'!E238</f>
        <v>46495.4</v>
      </c>
      <c r="E238">
        <f>'Cleaned Data'!K238</f>
        <v>0</v>
      </c>
      <c r="F238">
        <f>'Dummy Variables'!O238</f>
        <v>0</v>
      </c>
      <c r="G238">
        <f>'Dummy Variables'!P238</f>
        <v>0</v>
      </c>
      <c r="H238">
        <f>'Dummy Variables'!Q238</f>
        <v>1</v>
      </c>
      <c r="J238" s="9">
        <v>206</v>
      </c>
      <c r="K238" s="9">
        <v>707097.13994813664</v>
      </c>
      <c r="L238" s="9">
        <v>88367.330051863333</v>
      </c>
    </row>
    <row r="239" spans="1:12">
      <c r="A239" s="9">
        <f>'Cleaned Data'!M239</f>
        <v>810355.02</v>
      </c>
      <c r="B239" s="9">
        <f>'Cleaned Data'!F239</f>
        <v>9996</v>
      </c>
      <c r="C239">
        <f>'Cleaned Data'!H239</f>
        <v>22</v>
      </c>
      <c r="D239">
        <f>'Cleaned Data'!E239</f>
        <v>72961.95</v>
      </c>
      <c r="E239">
        <f>'Cleaned Data'!K239</f>
        <v>0</v>
      </c>
      <c r="F239">
        <f>'Dummy Variables'!O239</f>
        <v>0</v>
      </c>
      <c r="G239">
        <f>'Dummy Variables'!P239</f>
        <v>0</v>
      </c>
      <c r="H239">
        <f>'Dummy Variables'!Q239</f>
        <v>1</v>
      </c>
      <c r="J239" s="9">
        <v>207</v>
      </c>
      <c r="K239" s="9">
        <v>729799.18967544648</v>
      </c>
      <c r="L239" s="9">
        <v>-57930.599675446516</v>
      </c>
    </row>
    <row r="240" spans="1:12">
      <c r="A240" s="9">
        <f>'Cleaned Data'!M240</f>
        <v>761919.25</v>
      </c>
      <c r="B240" s="9">
        <f>'Cleaned Data'!F240</f>
        <v>9702</v>
      </c>
      <c r="C240">
        <f>'Cleaned Data'!H240</f>
        <v>23</v>
      </c>
      <c r="D240">
        <f>'Cleaned Data'!E240</f>
        <v>59060.05</v>
      </c>
      <c r="E240">
        <f>'Cleaned Data'!K240</f>
        <v>0</v>
      </c>
      <c r="F240">
        <f>'Dummy Variables'!O240</f>
        <v>0</v>
      </c>
      <c r="G240">
        <f>'Dummy Variables'!P240</f>
        <v>0</v>
      </c>
      <c r="H240">
        <f>'Dummy Variables'!Q240</f>
        <v>1</v>
      </c>
      <c r="J240" s="9">
        <v>208</v>
      </c>
      <c r="K240" s="9">
        <v>719729.32806283829</v>
      </c>
      <c r="L240" s="9">
        <v>-43811.698062838288</v>
      </c>
    </row>
    <row r="241" spans="1:12">
      <c r="A241" s="9">
        <f>'Cleaned Data'!M241</f>
        <v>737070.18</v>
      </c>
      <c r="B241" s="9">
        <f>'Cleaned Data'!F241</f>
        <v>9314</v>
      </c>
      <c r="C241">
        <f>'Cleaned Data'!H241</f>
        <v>21</v>
      </c>
      <c r="D241">
        <f>'Cleaned Data'!E241</f>
        <v>26248.1</v>
      </c>
      <c r="E241">
        <f>'Cleaned Data'!K241</f>
        <v>0</v>
      </c>
      <c r="F241">
        <f>'Dummy Variables'!O241</f>
        <v>0</v>
      </c>
      <c r="G241">
        <f>'Dummy Variables'!P241</f>
        <v>0</v>
      </c>
      <c r="H241">
        <f>'Dummy Variables'!Q241</f>
        <v>1</v>
      </c>
      <c r="J241" s="9">
        <v>209</v>
      </c>
      <c r="K241" s="9">
        <v>807236.74247568427</v>
      </c>
      <c r="L241" s="9">
        <v>3209.7875243157614</v>
      </c>
    </row>
    <row r="242" spans="1:12">
      <c r="A242" s="9">
        <f>'Cleaned Data'!M242</f>
        <v>776992.93</v>
      </c>
      <c r="B242" s="9">
        <f>'Cleaned Data'!F242</f>
        <v>8055</v>
      </c>
      <c r="C242">
        <f>'Cleaned Data'!H242</f>
        <v>22</v>
      </c>
      <c r="D242">
        <f>'Cleaned Data'!E242</f>
        <v>69900.12</v>
      </c>
      <c r="E242">
        <f>'Cleaned Data'!K242</f>
        <v>1</v>
      </c>
      <c r="F242">
        <f>'Dummy Variables'!O242</f>
        <v>0</v>
      </c>
      <c r="G242">
        <f>'Dummy Variables'!P242</f>
        <v>1</v>
      </c>
      <c r="H242">
        <f>'Dummy Variables'!Q242</f>
        <v>0</v>
      </c>
      <c r="J242" s="9">
        <v>210</v>
      </c>
      <c r="K242" s="9">
        <v>763309.78673251776</v>
      </c>
      <c r="L242" s="9">
        <v>-72021.596732517821</v>
      </c>
    </row>
    <row r="243" spans="1:12">
      <c r="A243" s="9">
        <f>'Cleaned Data'!M243</f>
        <v>676337.41</v>
      </c>
      <c r="B243" s="9">
        <f>'Cleaned Data'!F243</f>
        <v>5648</v>
      </c>
      <c r="C243">
        <f>'Cleaned Data'!H243</f>
        <v>13</v>
      </c>
      <c r="D243">
        <f>'Cleaned Data'!E243</f>
        <v>51781.599999999999</v>
      </c>
      <c r="E243">
        <f>'Cleaned Data'!K243</f>
        <v>0</v>
      </c>
      <c r="F243">
        <f>'Dummy Variables'!O243</f>
        <v>0</v>
      </c>
      <c r="G243">
        <f>'Dummy Variables'!P243</f>
        <v>1</v>
      </c>
      <c r="H243">
        <f>'Dummy Variables'!Q243</f>
        <v>0</v>
      </c>
      <c r="J243" s="9">
        <v>211</v>
      </c>
      <c r="K243" s="9">
        <v>954436.41720935563</v>
      </c>
      <c r="L243" s="9">
        <v>-7602.877209355589</v>
      </c>
    </row>
    <row r="244" spans="1:12">
      <c r="A244" s="9">
        <f>'Cleaned Data'!M244</f>
        <v>828219.67</v>
      </c>
      <c r="B244" s="9">
        <f>'Cleaned Data'!F244</f>
        <v>10076</v>
      </c>
      <c r="C244">
        <f>'Cleaned Data'!H244</f>
        <v>24</v>
      </c>
      <c r="D244">
        <f>'Cleaned Data'!E244</f>
        <v>70799.64</v>
      </c>
      <c r="E244">
        <f>'Cleaned Data'!K244</f>
        <v>0</v>
      </c>
      <c r="F244">
        <f>'Dummy Variables'!O244</f>
        <v>0</v>
      </c>
      <c r="G244">
        <f>'Dummy Variables'!P244</f>
        <v>1</v>
      </c>
      <c r="H244">
        <f>'Dummy Variables'!Q244</f>
        <v>0</v>
      </c>
      <c r="J244" s="9">
        <v>212</v>
      </c>
      <c r="K244" s="9">
        <v>761145.80414896971</v>
      </c>
      <c r="L244" s="9">
        <v>817.42585103027523</v>
      </c>
    </row>
    <row r="245" spans="1:12">
      <c r="A245" s="9">
        <f>'Cleaned Data'!M245</f>
        <v>763159.92</v>
      </c>
      <c r="B245" s="9">
        <f>'Cleaned Data'!F245</f>
        <v>8004</v>
      </c>
      <c r="C245">
        <f>'Cleaned Data'!H245</f>
        <v>21</v>
      </c>
      <c r="D245">
        <f>'Cleaned Data'!E245</f>
        <v>53546.34</v>
      </c>
      <c r="E245">
        <f>'Cleaned Data'!K245</f>
        <v>0</v>
      </c>
      <c r="F245">
        <f>'Dummy Variables'!O245</f>
        <v>0</v>
      </c>
      <c r="G245">
        <f>'Dummy Variables'!P245</f>
        <v>1</v>
      </c>
      <c r="H245">
        <f>'Dummy Variables'!Q245</f>
        <v>0</v>
      </c>
      <c r="J245" s="9">
        <v>213</v>
      </c>
      <c r="K245" s="9">
        <v>786394.42783698882</v>
      </c>
      <c r="L245" s="9">
        <v>25758.172163011157</v>
      </c>
    </row>
    <row r="246" spans="1:12">
      <c r="A246" s="9">
        <f>'Cleaned Data'!M246</f>
        <v>802001.68</v>
      </c>
      <c r="B246" s="9">
        <f>'Cleaned Data'!F246</f>
        <v>8934</v>
      </c>
      <c r="C246">
        <f>'Cleaned Data'!H246</f>
        <v>20</v>
      </c>
      <c r="D246">
        <f>'Cleaned Data'!E246</f>
        <v>76942.2</v>
      </c>
      <c r="E246">
        <f>'Cleaned Data'!K246</f>
        <v>0</v>
      </c>
      <c r="F246">
        <f>'Dummy Variables'!O246</f>
        <v>0</v>
      </c>
      <c r="G246">
        <f>'Dummy Variables'!P246</f>
        <v>0</v>
      </c>
      <c r="H246">
        <f>'Dummy Variables'!Q246</f>
        <v>0</v>
      </c>
      <c r="J246" s="9">
        <v>214</v>
      </c>
      <c r="K246" s="9">
        <v>766430.93250386871</v>
      </c>
      <c r="L246" s="9">
        <v>38544.567496131291</v>
      </c>
    </row>
    <row r="247" spans="1:12">
      <c r="A247" s="9">
        <f>'Cleaned Data'!M247</f>
        <v>750471.34</v>
      </c>
      <c r="B247" s="9">
        <f>'Cleaned Data'!F247</f>
        <v>8733</v>
      </c>
      <c r="C247">
        <f>'Cleaned Data'!H247</f>
        <v>20</v>
      </c>
      <c r="D247">
        <f>'Cleaned Data'!E247</f>
        <v>48060.78</v>
      </c>
      <c r="E247">
        <f>'Cleaned Data'!K247</f>
        <v>0</v>
      </c>
      <c r="F247">
        <f>'Dummy Variables'!O247</f>
        <v>0</v>
      </c>
      <c r="G247">
        <f>'Dummy Variables'!P247</f>
        <v>0</v>
      </c>
      <c r="H247">
        <f>'Dummy Variables'!Q247</f>
        <v>0</v>
      </c>
      <c r="J247" s="9">
        <v>215</v>
      </c>
      <c r="K247" s="9">
        <v>765812.62348155992</v>
      </c>
      <c r="L247" s="9">
        <v>-13490.903481559944</v>
      </c>
    </row>
    <row r="248" spans="1:12">
      <c r="A248" s="9">
        <f>'Cleaned Data'!M248</f>
        <v>679230.86</v>
      </c>
      <c r="B248" s="9">
        <f>'Cleaned Data'!F248</f>
        <v>7374</v>
      </c>
      <c r="C248">
        <f>'Cleaned Data'!H248</f>
        <v>21</v>
      </c>
      <c r="D248">
        <f>'Cleaned Data'!E248</f>
        <v>57390.04</v>
      </c>
      <c r="E248">
        <f>'Cleaned Data'!K248</f>
        <v>0</v>
      </c>
      <c r="F248">
        <f>'Dummy Variables'!O248</f>
        <v>0</v>
      </c>
      <c r="G248">
        <f>'Dummy Variables'!P248</f>
        <v>0</v>
      </c>
      <c r="H248">
        <f>'Dummy Variables'!Q248</f>
        <v>0</v>
      </c>
      <c r="J248" s="9">
        <v>216</v>
      </c>
      <c r="K248" s="9">
        <v>832784.3058302463</v>
      </c>
      <c r="L248" s="9">
        <v>4123.9341697536875</v>
      </c>
    </row>
    <row r="249" spans="1:12">
      <c r="A249" s="9">
        <f>'Cleaned Data'!M249</f>
        <v>679888.74</v>
      </c>
      <c r="B249" s="9">
        <f>'Cleaned Data'!F249</f>
        <v>8119</v>
      </c>
      <c r="C249">
        <f>'Cleaned Data'!H249</f>
        <v>20</v>
      </c>
      <c r="D249">
        <f>'Cleaned Data'!E249</f>
        <v>21536.18</v>
      </c>
      <c r="E249">
        <f>'Cleaned Data'!K249</f>
        <v>0</v>
      </c>
      <c r="F249">
        <f>'Dummy Variables'!O249</f>
        <v>0</v>
      </c>
      <c r="G249">
        <f>'Dummy Variables'!P249</f>
        <v>0</v>
      </c>
      <c r="H249">
        <f>'Dummy Variables'!Q249</f>
        <v>0</v>
      </c>
      <c r="J249" s="9">
        <v>217</v>
      </c>
      <c r="K249" s="9">
        <v>648020.66127728135</v>
      </c>
      <c r="L249" s="9">
        <v>26268.438722718623</v>
      </c>
    </row>
    <row r="250" spans="1:12">
      <c r="A250" s="9">
        <f>'Cleaned Data'!M250</f>
        <v>606783.67000000004</v>
      </c>
      <c r="B250" s="9">
        <f>'Cleaned Data'!F250</f>
        <v>3875</v>
      </c>
      <c r="C250">
        <f>'Cleaned Data'!H250</f>
        <v>10</v>
      </c>
      <c r="D250">
        <f>'Cleaned Data'!E250</f>
        <v>40923.67</v>
      </c>
      <c r="E250">
        <f>'Cleaned Data'!K250</f>
        <v>0</v>
      </c>
      <c r="F250">
        <f>'Dummy Variables'!O250</f>
        <v>1</v>
      </c>
      <c r="G250">
        <f>'Dummy Variables'!P250</f>
        <v>0</v>
      </c>
      <c r="H250">
        <f>'Dummy Variables'!Q250</f>
        <v>0</v>
      </c>
      <c r="J250" s="9">
        <v>218</v>
      </c>
      <c r="K250" s="9">
        <v>608426.64008688356</v>
      </c>
      <c r="L250" s="9">
        <v>14465.779913116479</v>
      </c>
    </row>
    <row r="251" spans="1:12">
      <c r="A251" s="9">
        <f>'Cleaned Data'!M251</f>
        <v>642751.42000000004</v>
      </c>
      <c r="B251" s="9">
        <f>'Cleaned Data'!F251</f>
        <v>5765</v>
      </c>
      <c r="C251">
        <f>'Cleaned Data'!H251</f>
        <v>17</v>
      </c>
      <c r="D251">
        <f>'Cleaned Data'!E251</f>
        <v>72932.55</v>
      </c>
      <c r="E251">
        <f>'Cleaned Data'!K251</f>
        <v>0</v>
      </c>
      <c r="F251">
        <f>'Dummy Variables'!O251</f>
        <v>1</v>
      </c>
      <c r="G251">
        <f>'Dummy Variables'!P251</f>
        <v>0</v>
      </c>
      <c r="H251">
        <f>'Dummy Variables'!Q251</f>
        <v>0</v>
      </c>
      <c r="J251" s="9">
        <v>219</v>
      </c>
      <c r="K251" s="9">
        <v>613662.43368708179</v>
      </c>
      <c r="L251" s="9">
        <v>59686.126312918263</v>
      </c>
    </row>
    <row r="252" spans="1:12">
      <c r="A252" s="9">
        <f>'Cleaned Data'!M252</f>
        <v>647953.78</v>
      </c>
      <c r="B252" s="9">
        <f>'Cleaned Data'!F252</f>
        <v>6322</v>
      </c>
      <c r="C252">
        <f>'Cleaned Data'!H252</f>
        <v>15</v>
      </c>
      <c r="D252">
        <f>'Cleaned Data'!E252</f>
        <v>38361.93</v>
      </c>
      <c r="E252">
        <f>'Cleaned Data'!K252</f>
        <v>0</v>
      </c>
      <c r="F252">
        <f>'Dummy Variables'!O252</f>
        <v>1</v>
      </c>
      <c r="G252">
        <f>'Dummy Variables'!P252</f>
        <v>0</v>
      </c>
      <c r="H252">
        <f>'Dummy Variables'!Q252</f>
        <v>0</v>
      </c>
      <c r="J252" s="9">
        <v>220</v>
      </c>
      <c r="K252" s="9">
        <v>564787.54908627213</v>
      </c>
      <c r="L252" s="9">
        <v>41490.750913727912</v>
      </c>
    </row>
    <row r="253" spans="1:12">
      <c r="A253" s="9">
        <f>'Cleaned Data'!M253</f>
        <v>729440.45</v>
      </c>
      <c r="B253" s="9">
        <f>'Cleaned Data'!F253</f>
        <v>6840</v>
      </c>
      <c r="C253">
        <f>'Cleaned Data'!H253</f>
        <v>14</v>
      </c>
      <c r="D253">
        <f>'Cleaned Data'!E253</f>
        <v>97480.94</v>
      </c>
      <c r="E253">
        <f>'Cleaned Data'!K253</f>
        <v>0</v>
      </c>
      <c r="F253">
        <f>'Dummy Variables'!O253</f>
        <v>1</v>
      </c>
      <c r="G253">
        <f>'Dummy Variables'!P253</f>
        <v>0</v>
      </c>
      <c r="H253">
        <f>'Dummy Variables'!Q253</f>
        <v>0</v>
      </c>
      <c r="J253" s="9">
        <v>221</v>
      </c>
      <c r="K253" s="9">
        <v>698874.15584056883</v>
      </c>
      <c r="L253" s="9">
        <v>13345.654159431229</v>
      </c>
    </row>
    <row r="254" spans="1:12">
      <c r="A254" s="9">
        <f>'Cleaned Data'!M254</f>
        <v>764949</v>
      </c>
      <c r="B254" s="9">
        <f>'Cleaned Data'!F254</f>
        <v>6782</v>
      </c>
      <c r="C254">
        <f>'Cleaned Data'!H254</f>
        <v>16</v>
      </c>
      <c r="D254">
        <f>'Cleaned Data'!E254</f>
        <v>81801.8</v>
      </c>
      <c r="E254">
        <f>'Cleaned Data'!K254</f>
        <v>0</v>
      </c>
      <c r="F254">
        <f>'Dummy Variables'!O254</f>
        <v>0</v>
      </c>
      <c r="G254">
        <f>'Dummy Variables'!P254</f>
        <v>1</v>
      </c>
      <c r="H254">
        <f>'Dummy Variables'!Q254</f>
        <v>0</v>
      </c>
      <c r="J254" s="9">
        <v>222</v>
      </c>
      <c r="K254" s="9">
        <v>660171.45264739858</v>
      </c>
      <c r="L254" s="9">
        <v>12499.087352601462</v>
      </c>
    </row>
    <row r="255" spans="1:12">
      <c r="A255" s="9">
        <f>'Cleaned Data'!M255</f>
        <v>799046.94</v>
      </c>
      <c r="B255" s="9">
        <f>'Cleaned Data'!F255</f>
        <v>6856</v>
      </c>
      <c r="C255">
        <f>'Cleaned Data'!H255</f>
        <v>17</v>
      </c>
      <c r="D255">
        <f>'Cleaned Data'!E255</f>
        <v>63582.11</v>
      </c>
      <c r="E255">
        <f>'Cleaned Data'!K255</f>
        <v>0</v>
      </c>
      <c r="F255">
        <f>'Dummy Variables'!O255</f>
        <v>0</v>
      </c>
      <c r="G255">
        <f>'Dummy Variables'!P255</f>
        <v>1</v>
      </c>
      <c r="H255">
        <f>'Dummy Variables'!Q255</f>
        <v>0</v>
      </c>
      <c r="J255" s="9">
        <v>223</v>
      </c>
      <c r="K255" s="9">
        <v>721638.43274506018</v>
      </c>
      <c r="L255" s="9">
        <v>11029.487254939857</v>
      </c>
    </row>
    <row r="256" spans="1:12">
      <c r="A256" s="9">
        <f>'Cleaned Data'!M256</f>
        <v>720079.54</v>
      </c>
      <c r="B256" s="9">
        <f>'Cleaned Data'!F256</f>
        <v>5641</v>
      </c>
      <c r="C256">
        <f>'Cleaned Data'!H256</f>
        <v>13</v>
      </c>
      <c r="D256">
        <f>'Cleaned Data'!E256</f>
        <v>75412.740000000005</v>
      </c>
      <c r="E256">
        <f>'Cleaned Data'!K256</f>
        <v>0</v>
      </c>
      <c r="F256">
        <f>'Dummy Variables'!O256</f>
        <v>0</v>
      </c>
      <c r="G256">
        <f>'Dummy Variables'!P256</f>
        <v>1</v>
      </c>
      <c r="H256">
        <f>'Dummy Variables'!Q256</f>
        <v>0</v>
      </c>
      <c r="J256" s="9">
        <v>224</v>
      </c>
      <c r="K256" s="9">
        <v>759900.64080619463</v>
      </c>
      <c r="L256" s="9">
        <v>-36369.240806194604</v>
      </c>
    </row>
    <row r="257" spans="1:12">
      <c r="A257" s="9">
        <f>'Cleaned Data'!M257</f>
        <v>612390.14</v>
      </c>
      <c r="B257" s="9">
        <f>'Cleaned Data'!F257</f>
        <v>5787</v>
      </c>
      <c r="C257">
        <f>'Cleaned Data'!H257</f>
        <v>17</v>
      </c>
      <c r="D257">
        <f>'Cleaned Data'!E257</f>
        <v>36290.080000000002</v>
      </c>
      <c r="E257">
        <f>'Cleaned Data'!K257</f>
        <v>0</v>
      </c>
      <c r="F257">
        <f>'Dummy Variables'!O257</f>
        <v>0</v>
      </c>
      <c r="G257">
        <f>'Dummy Variables'!P257</f>
        <v>1</v>
      </c>
      <c r="H257">
        <f>'Dummy Variables'!Q257</f>
        <v>0</v>
      </c>
      <c r="J257" s="9">
        <v>225</v>
      </c>
      <c r="K257" s="9">
        <v>633288.24466214422</v>
      </c>
      <c r="L257" s="9">
        <v>8276.3553378557554</v>
      </c>
    </row>
    <row r="258" spans="1:12">
      <c r="A258" s="9">
        <f>'Cleaned Data'!M258</f>
        <v>840108.12</v>
      </c>
      <c r="B258" s="9">
        <f>'Cleaned Data'!F258</f>
        <v>8165</v>
      </c>
      <c r="C258">
        <f>'Cleaned Data'!H258</f>
        <v>19</v>
      </c>
      <c r="D258">
        <f>'Cleaned Data'!E258</f>
        <v>65272.58</v>
      </c>
      <c r="E258">
        <f>'Cleaned Data'!K258</f>
        <v>1</v>
      </c>
      <c r="F258">
        <f>'Dummy Variables'!O258</f>
        <v>0</v>
      </c>
      <c r="G258">
        <f>'Dummy Variables'!P258</f>
        <v>1</v>
      </c>
      <c r="H258">
        <f>'Dummy Variables'!Q258</f>
        <v>0</v>
      </c>
      <c r="J258" s="9">
        <v>226</v>
      </c>
      <c r="K258" s="9">
        <v>542172.47015866323</v>
      </c>
      <c r="L258" s="9">
        <v>-5626.9801586632384</v>
      </c>
    </row>
    <row r="259" spans="1:12">
      <c r="A259" s="9">
        <f>'Cleaned Data'!M259</f>
        <v>697888.09</v>
      </c>
      <c r="B259" s="9">
        <f>'Cleaned Data'!F259</f>
        <v>7574</v>
      </c>
      <c r="C259">
        <f>'Cleaned Data'!H259</f>
        <v>19</v>
      </c>
      <c r="D259">
        <f>'Cleaned Data'!E259</f>
        <v>28670.43</v>
      </c>
      <c r="E259">
        <f>'Cleaned Data'!K259</f>
        <v>0</v>
      </c>
      <c r="F259">
        <f>'Dummy Variables'!O259</f>
        <v>0</v>
      </c>
      <c r="G259">
        <f>'Dummy Variables'!P259</f>
        <v>1</v>
      </c>
      <c r="H259">
        <f>'Dummy Variables'!Q259</f>
        <v>0</v>
      </c>
      <c r="J259" s="9">
        <v>227</v>
      </c>
      <c r="K259" s="9">
        <v>560719.80256245134</v>
      </c>
      <c r="L259" s="9">
        <v>-33038.242562451283</v>
      </c>
    </row>
    <row r="260" spans="1:12">
      <c r="A260" s="9">
        <f>'Cleaned Data'!M260</f>
        <v>746115.59</v>
      </c>
      <c r="B260" s="9">
        <f>'Cleaned Data'!F260</f>
        <v>8634</v>
      </c>
      <c r="C260">
        <f>'Cleaned Data'!H260</f>
        <v>19</v>
      </c>
      <c r="D260">
        <f>'Cleaned Data'!E260</f>
        <v>44189.34</v>
      </c>
      <c r="E260">
        <f>'Cleaned Data'!K260</f>
        <v>0</v>
      </c>
      <c r="F260">
        <f>'Dummy Variables'!O260</f>
        <v>0</v>
      </c>
      <c r="G260">
        <f>'Dummy Variables'!P260</f>
        <v>1</v>
      </c>
      <c r="H260">
        <f>'Dummy Variables'!Q260</f>
        <v>0</v>
      </c>
      <c r="J260" s="9">
        <v>228</v>
      </c>
      <c r="K260" s="9">
        <v>467309.40331515024</v>
      </c>
      <c r="L260" s="9">
        <v>62289.536684849707</v>
      </c>
    </row>
    <row r="261" spans="1:12">
      <c r="A261" s="9">
        <f>'Cleaned Data'!M261</f>
        <v>776110.32</v>
      </c>
      <c r="B261" s="9">
        <f>'Cleaned Data'!F261</f>
        <v>7836</v>
      </c>
      <c r="C261">
        <f>'Cleaned Data'!H261</f>
        <v>21</v>
      </c>
      <c r="D261">
        <f>'Cleaned Data'!E261</f>
        <v>38397.82</v>
      </c>
      <c r="E261">
        <f>'Cleaned Data'!K261</f>
        <v>0</v>
      </c>
      <c r="F261">
        <f>'Dummy Variables'!O261</f>
        <v>0</v>
      </c>
      <c r="G261">
        <f>'Dummy Variables'!P261</f>
        <v>1</v>
      </c>
      <c r="H261">
        <f>'Dummy Variables'!Q261</f>
        <v>0</v>
      </c>
      <c r="J261" s="9">
        <v>229</v>
      </c>
      <c r="K261" s="9">
        <v>615432.67612713587</v>
      </c>
      <c r="L261" s="9">
        <v>-44469.366127135814</v>
      </c>
    </row>
    <row r="262" spans="1:12">
      <c r="A262" s="9">
        <f>'Cleaned Data'!M262</f>
        <v>528852.62</v>
      </c>
      <c r="B262" s="9">
        <f>'Cleaned Data'!F262</f>
        <v>3047</v>
      </c>
      <c r="C262">
        <f>'Cleaned Data'!H262</f>
        <v>10</v>
      </c>
      <c r="D262">
        <f>'Cleaned Data'!E262</f>
        <v>14519.37</v>
      </c>
      <c r="E262">
        <f>'Cleaned Data'!K262</f>
        <v>0</v>
      </c>
      <c r="F262">
        <f>'Dummy Variables'!O262</f>
        <v>0</v>
      </c>
      <c r="G262">
        <f>'Dummy Variables'!P262</f>
        <v>0</v>
      </c>
      <c r="H262">
        <f>'Dummy Variables'!Q262</f>
        <v>1</v>
      </c>
      <c r="J262" s="9">
        <v>230</v>
      </c>
      <c r="K262" s="9">
        <v>818034.63177448325</v>
      </c>
      <c r="L262" s="9">
        <v>52902.768225516775</v>
      </c>
    </row>
    <row r="263" spans="1:12">
      <c r="A263" s="9">
        <f>'Cleaned Data'!M263</f>
        <v>605751.32999999996</v>
      </c>
      <c r="B263" s="9">
        <f>'Cleaned Data'!F263</f>
        <v>4783</v>
      </c>
      <c r="C263">
        <f>'Cleaned Data'!H263</f>
        <v>13</v>
      </c>
      <c r="D263">
        <f>'Cleaned Data'!E263</f>
        <v>43288.2</v>
      </c>
      <c r="E263">
        <f>'Cleaned Data'!K263</f>
        <v>0</v>
      </c>
      <c r="F263">
        <f>'Dummy Variables'!O263</f>
        <v>0</v>
      </c>
      <c r="G263">
        <f>'Dummy Variables'!P263</f>
        <v>0</v>
      </c>
      <c r="H263">
        <f>'Dummy Variables'!Q263</f>
        <v>1</v>
      </c>
      <c r="J263" s="9">
        <v>231</v>
      </c>
      <c r="K263" s="9">
        <v>634871.74399239814</v>
      </c>
      <c r="L263" s="9">
        <v>-37902.473992398125</v>
      </c>
    </row>
    <row r="264" spans="1:12">
      <c r="A264" s="9">
        <f>'Cleaned Data'!M264</f>
        <v>677640.65</v>
      </c>
      <c r="B264" s="9">
        <f>'Cleaned Data'!F264</f>
        <v>4902</v>
      </c>
      <c r="C264">
        <f>'Cleaned Data'!H264</f>
        <v>11</v>
      </c>
      <c r="D264">
        <f>'Cleaned Data'!E264</f>
        <v>51450.55</v>
      </c>
      <c r="E264">
        <f>'Cleaned Data'!K264</f>
        <v>1</v>
      </c>
      <c r="F264">
        <f>'Dummy Variables'!O264</f>
        <v>0</v>
      </c>
      <c r="G264">
        <f>'Dummy Variables'!P264</f>
        <v>0</v>
      </c>
      <c r="H264">
        <f>'Dummy Variables'!Q264</f>
        <v>1</v>
      </c>
      <c r="J264" s="9">
        <v>232</v>
      </c>
      <c r="K264" s="9">
        <v>585392.45903089736</v>
      </c>
      <c r="L264" s="9">
        <v>62120.39096910262</v>
      </c>
    </row>
    <row r="265" spans="1:12">
      <c r="A265" s="9">
        <f>'Cleaned Data'!M265</f>
        <v>636613.23</v>
      </c>
      <c r="B265" s="9">
        <f>'Cleaned Data'!F265</f>
        <v>4022</v>
      </c>
      <c r="C265">
        <f>'Cleaned Data'!H265</f>
        <v>12</v>
      </c>
      <c r="D265">
        <f>'Cleaned Data'!E265</f>
        <v>58688.26</v>
      </c>
      <c r="E265">
        <f>'Cleaned Data'!K265</f>
        <v>0</v>
      </c>
      <c r="F265">
        <f>'Dummy Variables'!O265</f>
        <v>0</v>
      </c>
      <c r="G265">
        <f>'Dummy Variables'!P265</f>
        <v>0</v>
      </c>
      <c r="H265">
        <f>'Dummy Variables'!Q265</f>
        <v>1</v>
      </c>
      <c r="J265" s="9">
        <v>233</v>
      </c>
      <c r="K265" s="9">
        <v>600976.04555807787</v>
      </c>
      <c r="L265" s="9">
        <v>57096.094441922149</v>
      </c>
    </row>
    <row r="266" spans="1:12">
      <c r="A266" s="9">
        <f>'Cleaned Data'!M266</f>
        <v>708985.19</v>
      </c>
      <c r="B266" s="9">
        <f>'Cleaned Data'!F266</f>
        <v>7324</v>
      </c>
      <c r="C266">
        <f>'Cleaned Data'!H266</f>
        <v>15</v>
      </c>
      <c r="D266">
        <f>'Cleaned Data'!E266</f>
        <v>58981.91</v>
      </c>
      <c r="E266">
        <f>'Cleaned Data'!K266</f>
        <v>0</v>
      </c>
      <c r="F266">
        <f>'Dummy Variables'!O266</f>
        <v>0</v>
      </c>
      <c r="G266">
        <f>'Dummy Variables'!P266</f>
        <v>0</v>
      </c>
      <c r="H266">
        <f>'Dummy Variables'!Q266</f>
        <v>0</v>
      </c>
      <c r="J266" s="9">
        <v>234</v>
      </c>
      <c r="K266" s="9">
        <v>657565.35280294099</v>
      </c>
      <c r="L266" s="9">
        <v>65739.757197058992</v>
      </c>
    </row>
    <row r="267" spans="1:12">
      <c r="A267" s="9">
        <f>'Cleaned Data'!M267</f>
        <v>767792.94</v>
      </c>
      <c r="B267" s="9">
        <f>'Cleaned Data'!F267</f>
        <v>8129</v>
      </c>
      <c r="C267">
        <f>'Cleaned Data'!H267</f>
        <v>20</v>
      </c>
      <c r="D267">
        <f>'Cleaned Data'!E267</f>
        <v>73454.539999999994</v>
      </c>
      <c r="E267">
        <f>'Cleaned Data'!K267</f>
        <v>0</v>
      </c>
      <c r="F267">
        <f>'Dummy Variables'!O267</f>
        <v>0</v>
      </c>
      <c r="G267">
        <f>'Dummy Variables'!P267</f>
        <v>0</v>
      </c>
      <c r="H267">
        <f>'Dummy Variables'!Q267</f>
        <v>0</v>
      </c>
      <c r="J267" s="9">
        <v>235</v>
      </c>
      <c r="K267" s="9">
        <v>660944.16490725963</v>
      </c>
      <c r="L267" s="9">
        <v>-20277.634907259606</v>
      </c>
    </row>
    <row r="268" spans="1:12">
      <c r="A268" s="9">
        <f>'Cleaned Data'!M268</f>
        <v>745580.51</v>
      </c>
      <c r="B268" s="9">
        <f>'Cleaned Data'!F268</f>
        <v>7969</v>
      </c>
      <c r="C268">
        <f>'Cleaned Data'!H268</f>
        <v>21</v>
      </c>
      <c r="D268">
        <f>'Cleaned Data'!E268</f>
        <v>56602.39</v>
      </c>
      <c r="E268">
        <f>'Cleaned Data'!K268</f>
        <v>0</v>
      </c>
      <c r="F268">
        <f>'Dummy Variables'!O268</f>
        <v>0</v>
      </c>
      <c r="G268">
        <f>'Dummy Variables'!P268</f>
        <v>0</v>
      </c>
      <c r="H268">
        <f>'Dummy Variables'!Q268</f>
        <v>0</v>
      </c>
      <c r="J268" s="9">
        <v>236</v>
      </c>
      <c r="K268" s="9">
        <v>666828.23069872265</v>
      </c>
      <c r="L268" s="9">
        <v>3801.2493012773339</v>
      </c>
    </row>
    <row r="269" spans="1:12">
      <c r="A269" s="9">
        <f>'Cleaned Data'!M269</f>
        <v>762328.31</v>
      </c>
      <c r="B269" s="9">
        <f>'Cleaned Data'!F269</f>
        <v>7240</v>
      </c>
      <c r="C269">
        <f>'Cleaned Data'!H269</f>
        <v>15</v>
      </c>
      <c r="D269">
        <f>'Cleaned Data'!E269</f>
        <v>67722.289999999994</v>
      </c>
      <c r="E269">
        <f>'Cleaned Data'!K269</f>
        <v>0</v>
      </c>
      <c r="F269">
        <f>'Dummy Variables'!O269</f>
        <v>0</v>
      </c>
      <c r="G269">
        <f>'Dummy Variables'!P269</f>
        <v>0</v>
      </c>
      <c r="H269">
        <f>'Dummy Variables'!Q269</f>
        <v>0</v>
      </c>
      <c r="J269" s="9">
        <v>237</v>
      </c>
      <c r="K269" s="9">
        <v>786279.08477133315</v>
      </c>
      <c r="L269" s="9">
        <v>-65199.734771333169</v>
      </c>
    </row>
    <row r="270" spans="1:12">
      <c r="A270" s="9">
        <f>'Cleaned Data'!M270</f>
        <v>660633.99</v>
      </c>
      <c r="B270" s="9">
        <f>'Cleaned Data'!F270</f>
        <v>8052</v>
      </c>
      <c r="C270">
        <f>'Cleaned Data'!H270</f>
        <v>16</v>
      </c>
      <c r="D270">
        <f>'Cleaned Data'!E270</f>
        <v>48752.92</v>
      </c>
      <c r="E270">
        <f>'Cleaned Data'!K270</f>
        <v>0</v>
      </c>
      <c r="F270">
        <f>'Dummy Variables'!O270</f>
        <v>0</v>
      </c>
      <c r="G270">
        <f>'Dummy Variables'!P270</f>
        <v>0</v>
      </c>
      <c r="H270">
        <f>'Dummy Variables'!Q270</f>
        <v>0</v>
      </c>
      <c r="J270" s="9">
        <v>238</v>
      </c>
      <c r="K270" s="9">
        <v>818946.19992605795</v>
      </c>
      <c r="L270" s="9">
        <v>-8591.1799260579282</v>
      </c>
    </row>
    <row r="271" spans="1:12">
      <c r="A271" s="9">
        <f>'Cleaned Data'!M271</f>
        <v>739374.56</v>
      </c>
      <c r="B271" s="9">
        <f>'Cleaned Data'!F271</f>
        <v>8018</v>
      </c>
      <c r="C271">
        <f>'Cleaned Data'!H271</f>
        <v>20</v>
      </c>
      <c r="D271">
        <f>'Cleaned Data'!E271</f>
        <v>23914.97</v>
      </c>
      <c r="E271">
        <f>'Cleaned Data'!K271</f>
        <v>0</v>
      </c>
      <c r="F271">
        <f>'Dummy Variables'!O271</f>
        <v>0</v>
      </c>
      <c r="G271">
        <f>'Dummy Variables'!P271</f>
        <v>0</v>
      </c>
      <c r="H271">
        <f>'Dummy Variables'!Q271</f>
        <v>0</v>
      </c>
      <c r="J271" s="9">
        <v>239</v>
      </c>
      <c r="K271" s="9">
        <v>796837.66371183866</v>
      </c>
      <c r="L271" s="9">
        <v>-34918.413711838657</v>
      </c>
    </row>
    <row r="272" spans="1:12">
      <c r="A272" s="9">
        <f>'Cleaned Data'!M272</f>
        <v>799756.46</v>
      </c>
      <c r="B272" s="9">
        <f>'Cleaned Data'!F272</f>
        <v>10192</v>
      </c>
      <c r="C272">
        <f>'Cleaned Data'!H272</f>
        <v>21</v>
      </c>
      <c r="D272">
        <f>'Cleaned Data'!E272</f>
        <v>61995.3</v>
      </c>
      <c r="E272">
        <f>'Cleaned Data'!K272</f>
        <v>1</v>
      </c>
      <c r="F272">
        <f>'Dummy Variables'!O272</f>
        <v>0</v>
      </c>
      <c r="G272">
        <f>'Dummy Variables'!P272</f>
        <v>0</v>
      </c>
      <c r="H272">
        <f>'Dummy Variables'!Q272</f>
        <v>0</v>
      </c>
      <c r="J272" s="9">
        <v>240</v>
      </c>
      <c r="K272" s="9">
        <v>743547.29234852595</v>
      </c>
      <c r="L272" s="9">
        <v>-6477.1123485259013</v>
      </c>
    </row>
    <row r="273" spans="1:12">
      <c r="A273" s="9">
        <f>'Cleaned Data'!M273</f>
        <v>593343</v>
      </c>
      <c r="B273" s="9">
        <f>'Cleaned Data'!F273</f>
        <v>7446</v>
      </c>
      <c r="C273">
        <f>'Cleaned Data'!H273</f>
        <v>15</v>
      </c>
      <c r="D273">
        <f>'Cleaned Data'!E273</f>
        <v>29344.93</v>
      </c>
      <c r="E273">
        <f>'Cleaned Data'!K273</f>
        <v>0</v>
      </c>
      <c r="F273">
        <f>'Dummy Variables'!O273</f>
        <v>0</v>
      </c>
      <c r="G273">
        <f>'Dummy Variables'!P273</f>
        <v>0</v>
      </c>
      <c r="H273">
        <f>'Dummy Variables'!Q273</f>
        <v>0</v>
      </c>
      <c r="J273" s="9">
        <v>241</v>
      </c>
      <c r="K273" s="9">
        <v>773759.82204906619</v>
      </c>
      <c r="L273" s="9">
        <v>3233.1079509338597</v>
      </c>
    </row>
    <row r="274" spans="1:12">
      <c r="A274" s="9">
        <f>'Cleaned Data'!M274</f>
        <v>645039.97</v>
      </c>
      <c r="B274" s="9">
        <f>'Cleaned Data'!F274</f>
        <v>5689</v>
      </c>
      <c r="C274">
        <f>'Cleaned Data'!H274</f>
        <v>17</v>
      </c>
      <c r="D274">
        <f>'Cleaned Data'!E274</f>
        <v>50532.17</v>
      </c>
      <c r="E274">
        <f>'Cleaned Data'!K274</f>
        <v>0</v>
      </c>
      <c r="F274">
        <f>'Dummy Variables'!O274</f>
        <v>0</v>
      </c>
      <c r="G274">
        <f>'Dummy Variables'!P274</f>
        <v>0</v>
      </c>
      <c r="H274">
        <f>'Dummy Variables'!Q274</f>
        <v>1</v>
      </c>
      <c r="J274" s="9">
        <v>242</v>
      </c>
      <c r="K274" s="9">
        <v>649592.01275392203</v>
      </c>
      <c r="L274" s="9">
        <v>26745.397246078006</v>
      </c>
    </row>
    <row r="275" spans="1:12">
      <c r="A275" s="9">
        <f>'Cleaned Data'!M275</f>
        <v>561597.32999999996</v>
      </c>
      <c r="B275" s="9">
        <f>'Cleaned Data'!F275</f>
        <v>3326</v>
      </c>
      <c r="C275">
        <f>'Cleaned Data'!H275</f>
        <v>14</v>
      </c>
      <c r="D275">
        <f>'Cleaned Data'!E275</f>
        <v>17562.57</v>
      </c>
      <c r="E275">
        <f>'Cleaned Data'!K275</f>
        <v>0</v>
      </c>
      <c r="F275">
        <f>'Dummy Variables'!O275</f>
        <v>0</v>
      </c>
      <c r="G275">
        <f>'Dummy Variables'!P275</f>
        <v>0</v>
      </c>
      <c r="H275">
        <f>'Dummy Variables'!Q275</f>
        <v>1</v>
      </c>
      <c r="J275" s="9">
        <v>243</v>
      </c>
      <c r="K275" s="9">
        <v>826356.94458004332</v>
      </c>
      <c r="L275" s="9">
        <v>1862.7254199567251</v>
      </c>
    </row>
    <row r="276" spans="1:12">
      <c r="A276" s="9">
        <f>'Cleaned Data'!M276</f>
        <v>635837.74</v>
      </c>
      <c r="B276" s="9">
        <f>'Cleaned Data'!F276</f>
        <v>5767</v>
      </c>
      <c r="C276">
        <f>'Cleaned Data'!H276</f>
        <v>17</v>
      </c>
      <c r="D276">
        <f>'Cleaned Data'!E276</f>
        <v>47648.71</v>
      </c>
      <c r="E276">
        <f>'Cleaned Data'!K276</f>
        <v>0</v>
      </c>
      <c r="F276">
        <f>'Dummy Variables'!O276</f>
        <v>0</v>
      </c>
      <c r="G276">
        <f>'Dummy Variables'!P276</f>
        <v>0</v>
      </c>
      <c r="H276">
        <f>'Dummy Variables'!Q276</f>
        <v>1</v>
      </c>
      <c r="J276" s="9">
        <v>244</v>
      </c>
      <c r="K276" s="9">
        <v>739105.42851141596</v>
      </c>
      <c r="L276" s="9">
        <v>24054.491488584084</v>
      </c>
    </row>
    <row r="277" spans="1:12">
      <c r="A277" s="9">
        <f>'Cleaned Data'!M277</f>
        <v>686737.87</v>
      </c>
      <c r="B277" s="9">
        <f>'Cleaned Data'!F277</f>
        <v>5893</v>
      </c>
      <c r="C277">
        <f>'Cleaned Data'!H277</f>
        <v>18</v>
      </c>
      <c r="D277">
        <f>'Cleaned Data'!E277</f>
        <v>38297.58</v>
      </c>
      <c r="E277">
        <f>'Cleaned Data'!K277</f>
        <v>0</v>
      </c>
      <c r="F277">
        <f>'Dummy Variables'!O277</f>
        <v>0</v>
      </c>
      <c r="G277">
        <f>'Dummy Variables'!P277</f>
        <v>0</v>
      </c>
      <c r="H277">
        <f>'Dummy Variables'!Q277</f>
        <v>1</v>
      </c>
      <c r="J277" s="9">
        <v>245</v>
      </c>
      <c r="K277" s="9">
        <v>766174.59142191638</v>
      </c>
      <c r="L277" s="9">
        <v>35827.088578083669</v>
      </c>
    </row>
    <row r="278" spans="1:12">
      <c r="A278" s="9">
        <f>'Cleaned Data'!M278</f>
        <v>673076.34</v>
      </c>
      <c r="B278" s="9">
        <f>'Cleaned Data'!F278</f>
        <v>8564</v>
      </c>
      <c r="C278">
        <f>'Cleaned Data'!H278</f>
        <v>17</v>
      </c>
      <c r="D278">
        <f>'Cleaned Data'!E278</f>
        <v>61784.11</v>
      </c>
      <c r="E278">
        <f>'Cleaned Data'!K278</f>
        <v>1</v>
      </c>
      <c r="F278">
        <f>'Dummy Variables'!O278</f>
        <v>0</v>
      </c>
      <c r="G278">
        <f>'Dummy Variables'!P278</f>
        <v>1</v>
      </c>
      <c r="H278">
        <f>'Dummy Variables'!Q278</f>
        <v>0</v>
      </c>
      <c r="J278" s="9">
        <v>246</v>
      </c>
      <c r="K278" s="9">
        <v>727451.32940988464</v>
      </c>
      <c r="L278" s="9">
        <v>23020.010590115329</v>
      </c>
    </row>
    <row r="279" spans="1:12">
      <c r="A279" s="9">
        <f>'Cleaned Data'!M279</f>
        <v>738548.42</v>
      </c>
      <c r="B279" s="9">
        <f>'Cleaned Data'!F279</f>
        <v>8001</v>
      </c>
      <c r="C279">
        <f>'Cleaned Data'!H279</f>
        <v>19</v>
      </c>
      <c r="D279">
        <f>'Cleaned Data'!E279</f>
        <v>36832.33</v>
      </c>
      <c r="E279">
        <f>'Cleaned Data'!K279</f>
        <v>0</v>
      </c>
      <c r="F279">
        <f>'Dummy Variables'!O279</f>
        <v>0</v>
      </c>
      <c r="G279">
        <f>'Dummy Variables'!P279</f>
        <v>1</v>
      </c>
      <c r="H279">
        <f>'Dummy Variables'!Q279</f>
        <v>0</v>
      </c>
      <c r="J279" s="9">
        <v>247</v>
      </c>
      <c r="K279" s="9">
        <v>700550.11234003596</v>
      </c>
      <c r="L279" s="9">
        <v>-21319.252340035979</v>
      </c>
    </row>
    <row r="280" spans="1:12">
      <c r="A280" s="9">
        <f>'Cleaned Data'!M280</f>
        <v>756619.77</v>
      </c>
      <c r="B280" s="9">
        <f>'Cleaned Data'!F280</f>
        <v>9324</v>
      </c>
      <c r="C280">
        <f>'Cleaned Data'!H280</f>
        <v>18</v>
      </c>
      <c r="D280">
        <f>'Cleaned Data'!E280</f>
        <v>48609.41</v>
      </c>
      <c r="E280">
        <f>'Cleaned Data'!K280</f>
        <v>0</v>
      </c>
      <c r="F280">
        <f>'Dummy Variables'!O280</f>
        <v>0</v>
      </c>
      <c r="G280">
        <f>'Dummy Variables'!P280</f>
        <v>1</v>
      </c>
      <c r="H280">
        <f>'Dummy Variables'!Q280</f>
        <v>0</v>
      </c>
      <c r="J280" s="9">
        <v>248</v>
      </c>
      <c r="K280" s="9">
        <v>679307.01057477016</v>
      </c>
      <c r="L280" s="9">
        <v>581.72942522983067</v>
      </c>
    </row>
    <row r="281" spans="1:12">
      <c r="A281" s="9">
        <f>'Cleaned Data'!M281</f>
        <v>761122.42</v>
      </c>
      <c r="B281" s="9">
        <f>'Cleaned Data'!F281</f>
        <v>9109</v>
      </c>
      <c r="C281">
        <f>'Cleaned Data'!H281</f>
        <v>23</v>
      </c>
      <c r="D281">
        <f>'Cleaned Data'!E281</f>
        <v>70284.06</v>
      </c>
      <c r="E281">
        <f>'Cleaned Data'!K281</f>
        <v>0</v>
      </c>
      <c r="F281">
        <f>'Dummy Variables'!O281</f>
        <v>0</v>
      </c>
      <c r="G281">
        <f>'Dummy Variables'!P281</f>
        <v>1</v>
      </c>
      <c r="H281">
        <f>'Dummy Variables'!Q281</f>
        <v>0</v>
      </c>
      <c r="J281" s="9">
        <v>249</v>
      </c>
      <c r="K281" s="9">
        <v>566771.75821552228</v>
      </c>
      <c r="L281" s="9">
        <v>40011.911784477765</v>
      </c>
    </row>
    <row r="282" spans="1:12">
      <c r="A282" s="9">
        <f>'Cleaned Data'!M282</f>
        <v>524899.56999999995</v>
      </c>
      <c r="B282" s="9">
        <f>'Cleaned Data'!F282</f>
        <v>4022</v>
      </c>
      <c r="C282">
        <f>'Cleaned Data'!H282</f>
        <v>10</v>
      </c>
      <c r="D282">
        <f>'Cleaned Data'!E282</f>
        <v>45940.39</v>
      </c>
      <c r="E282">
        <f>'Cleaned Data'!K282</f>
        <v>1</v>
      </c>
      <c r="F282">
        <f>'Dummy Variables'!O282</f>
        <v>0</v>
      </c>
      <c r="G282">
        <f>'Dummy Variables'!P282</f>
        <v>1</v>
      </c>
      <c r="H282">
        <f>'Dummy Variables'!Q282</f>
        <v>0</v>
      </c>
      <c r="J282" s="9">
        <v>250</v>
      </c>
      <c r="K282" s="9">
        <v>674705.43541860825</v>
      </c>
      <c r="L282" s="9">
        <v>-31954.015418608207</v>
      </c>
    </row>
    <row r="283" spans="1:12">
      <c r="A283" s="9">
        <f>'Cleaned Data'!M283</f>
        <v>555557.77</v>
      </c>
      <c r="B283" s="9">
        <f>'Cleaned Data'!F283</f>
        <v>4355</v>
      </c>
      <c r="C283">
        <f>'Cleaned Data'!H283</f>
        <v>15</v>
      </c>
      <c r="D283">
        <f>'Cleaned Data'!E283</f>
        <v>34771.26</v>
      </c>
      <c r="E283">
        <f>'Cleaned Data'!K283</f>
        <v>0</v>
      </c>
      <c r="F283">
        <f>'Dummy Variables'!O283</f>
        <v>0</v>
      </c>
      <c r="G283">
        <f>'Dummy Variables'!P283</f>
        <v>1</v>
      </c>
      <c r="H283">
        <f>'Dummy Variables'!Q283</f>
        <v>0</v>
      </c>
      <c r="J283" s="9">
        <v>251</v>
      </c>
      <c r="K283" s="9">
        <v>647103.13696315209</v>
      </c>
      <c r="L283" s="9">
        <v>850.64303684793413</v>
      </c>
    </row>
    <row r="284" spans="1:12">
      <c r="A284" s="9">
        <f>'Cleaned Data'!M284</f>
        <v>714083.68</v>
      </c>
      <c r="B284" s="9">
        <f>'Cleaned Data'!F284</f>
        <v>5745</v>
      </c>
      <c r="C284">
        <f>'Cleaned Data'!H284</f>
        <v>17</v>
      </c>
      <c r="D284">
        <f>'Cleaned Data'!E284</f>
        <v>66104.19</v>
      </c>
      <c r="E284">
        <f>'Cleaned Data'!K284</f>
        <v>0</v>
      </c>
      <c r="F284">
        <f>'Dummy Variables'!O284</f>
        <v>0</v>
      </c>
      <c r="G284">
        <f>'Dummy Variables'!P284</f>
        <v>1</v>
      </c>
      <c r="H284">
        <f>'Dummy Variables'!Q284</f>
        <v>0</v>
      </c>
      <c r="J284" s="9">
        <v>252</v>
      </c>
      <c r="K284" s="9">
        <v>727180.23398306454</v>
      </c>
      <c r="L284" s="9">
        <v>2260.2160169354174</v>
      </c>
    </row>
    <row r="285" spans="1:12">
      <c r="A285" s="9">
        <f>'Cleaned Data'!M285</f>
        <v>497439.82</v>
      </c>
      <c r="B285" s="9">
        <f>'Cleaned Data'!F285</f>
        <v>3027</v>
      </c>
      <c r="C285">
        <f>'Cleaned Data'!H285</f>
        <v>11</v>
      </c>
      <c r="D285">
        <f>'Cleaned Data'!E285</f>
        <v>18599.21</v>
      </c>
      <c r="E285">
        <f>'Cleaned Data'!K285</f>
        <v>0</v>
      </c>
      <c r="F285">
        <f>'Dummy Variables'!O285</f>
        <v>0</v>
      </c>
      <c r="G285">
        <f>'Dummy Variables'!P285</f>
        <v>1</v>
      </c>
      <c r="H285">
        <f>'Dummy Variables'!Q285</f>
        <v>0</v>
      </c>
      <c r="J285" s="9">
        <v>253</v>
      </c>
      <c r="K285" s="9">
        <v>723875.38604308886</v>
      </c>
      <c r="L285" s="9">
        <v>41073.61395691114</v>
      </c>
    </row>
    <row r="286" spans="1:12">
      <c r="A286" s="9">
        <f>'Cleaned Data'!M286</f>
        <v>636775.66</v>
      </c>
      <c r="B286" s="9">
        <f>'Cleaned Data'!F286</f>
        <v>5562</v>
      </c>
      <c r="C286">
        <f>'Cleaned Data'!H286</f>
        <v>13</v>
      </c>
      <c r="D286">
        <f>'Cleaned Data'!E286</f>
        <v>60183.06</v>
      </c>
      <c r="E286">
        <f>'Cleaned Data'!K286</f>
        <v>1</v>
      </c>
      <c r="F286">
        <f>'Dummy Variables'!O286</f>
        <v>0</v>
      </c>
      <c r="G286">
        <f>'Dummy Variables'!P286</f>
        <v>0</v>
      </c>
      <c r="H286">
        <f>'Dummy Variables'!Q286</f>
        <v>1</v>
      </c>
      <c r="J286" s="9">
        <v>254</v>
      </c>
      <c r="K286" s="9">
        <v>707640.10501752712</v>
      </c>
      <c r="L286" s="9">
        <v>91406.834982472821</v>
      </c>
    </row>
    <row r="287" spans="1:12">
      <c r="A287" s="9">
        <f>'Cleaned Data'!M287</f>
        <v>633009.53</v>
      </c>
      <c r="B287" s="9">
        <f>'Cleaned Data'!F287</f>
        <v>4487</v>
      </c>
      <c r="C287">
        <f>'Cleaned Data'!H287</f>
        <v>10</v>
      </c>
      <c r="D287">
        <f>'Cleaned Data'!E287</f>
        <v>74539.14</v>
      </c>
      <c r="E287">
        <f>'Cleaned Data'!K287</f>
        <v>0</v>
      </c>
      <c r="F287">
        <f>'Dummy Variables'!O287</f>
        <v>0</v>
      </c>
      <c r="G287">
        <f>'Dummy Variables'!P287</f>
        <v>0</v>
      </c>
      <c r="H287">
        <f>'Dummy Variables'!Q287</f>
        <v>1</v>
      </c>
      <c r="J287" s="9">
        <v>255</v>
      </c>
      <c r="K287" s="9">
        <v>676252.26489063189</v>
      </c>
      <c r="L287" s="9">
        <v>43827.275109368144</v>
      </c>
    </row>
    <row r="288" spans="1:12">
      <c r="A288" s="9">
        <f>'Cleaned Data'!M288</f>
        <v>609949</v>
      </c>
      <c r="B288" s="9">
        <f>'Cleaned Data'!F288</f>
        <v>4162</v>
      </c>
      <c r="C288">
        <f>'Cleaned Data'!H288</f>
        <v>11</v>
      </c>
      <c r="D288">
        <f>'Cleaned Data'!E288</f>
        <v>55371.97</v>
      </c>
      <c r="E288">
        <f>'Cleaned Data'!K288</f>
        <v>1</v>
      </c>
      <c r="F288">
        <f>'Dummy Variables'!O288</f>
        <v>0</v>
      </c>
      <c r="G288">
        <f>'Dummy Variables'!P288</f>
        <v>0</v>
      </c>
      <c r="H288">
        <f>'Dummy Variables'!Q288</f>
        <v>1</v>
      </c>
      <c r="J288" s="9">
        <v>256</v>
      </c>
      <c r="K288" s="9">
        <v>645292.33556595282</v>
      </c>
      <c r="L288" s="9">
        <v>-32902.195565952803</v>
      </c>
    </row>
    <row r="289" spans="1:12">
      <c r="A289" s="9">
        <f>'Cleaned Data'!M289</f>
        <v>548103.69999999995</v>
      </c>
      <c r="B289" s="9">
        <f>'Cleaned Data'!F289</f>
        <v>4094</v>
      </c>
      <c r="C289">
        <f>'Cleaned Data'!H289</f>
        <v>13</v>
      </c>
      <c r="D289">
        <f>'Cleaned Data'!E289</f>
        <v>40928.69</v>
      </c>
      <c r="E289">
        <f>'Cleaned Data'!K289</f>
        <v>0</v>
      </c>
      <c r="F289">
        <f>'Dummy Variables'!O289</f>
        <v>0</v>
      </c>
      <c r="G289">
        <f>'Dummy Variables'!P289</f>
        <v>0</v>
      </c>
      <c r="H289">
        <f>'Dummy Variables'!Q289</f>
        <v>1</v>
      </c>
      <c r="J289" s="9">
        <v>257</v>
      </c>
      <c r="K289" s="9">
        <v>764792.20002227125</v>
      </c>
      <c r="L289" s="9">
        <v>75315.919977728743</v>
      </c>
    </row>
    <row r="290" spans="1:12">
      <c r="A290" s="9">
        <f>'Cleaned Data'!M290</f>
        <v>729424.42</v>
      </c>
      <c r="B290" s="9">
        <f>'Cleaned Data'!F290</f>
        <v>8484</v>
      </c>
      <c r="C290">
        <f>'Cleaned Data'!H290</f>
        <v>23</v>
      </c>
      <c r="D290">
        <f>'Cleaned Data'!E290</f>
        <v>70012.41</v>
      </c>
      <c r="E290">
        <f>'Cleaned Data'!K290</f>
        <v>0</v>
      </c>
      <c r="F290">
        <f>'Dummy Variables'!O290</f>
        <v>0</v>
      </c>
      <c r="G290">
        <f>'Dummy Variables'!P290</f>
        <v>0</v>
      </c>
      <c r="H290">
        <f>'Dummy Variables'!Q290</f>
        <v>0</v>
      </c>
      <c r="J290" s="9">
        <v>258</v>
      </c>
      <c r="K290" s="9">
        <v>693606.68638415553</v>
      </c>
      <c r="L290" s="9">
        <v>4281.403615844436</v>
      </c>
    </row>
    <row r="291" spans="1:12">
      <c r="A291" s="9">
        <f>'Cleaned Data'!M291</f>
        <v>696261.49</v>
      </c>
      <c r="B291" s="9">
        <f>'Cleaned Data'!F291</f>
        <v>7794</v>
      </c>
      <c r="C291">
        <f>'Cleaned Data'!H291</f>
        <v>22</v>
      </c>
      <c r="D291">
        <f>'Cleaned Data'!E291</f>
        <v>68909.259999999995</v>
      </c>
      <c r="E291">
        <f>'Cleaned Data'!K291</f>
        <v>0</v>
      </c>
      <c r="F291">
        <f>'Dummy Variables'!O291</f>
        <v>0</v>
      </c>
      <c r="G291">
        <f>'Dummy Variables'!P291</f>
        <v>0</v>
      </c>
      <c r="H291">
        <f>'Dummy Variables'!Q291</f>
        <v>0</v>
      </c>
      <c r="J291" s="9">
        <v>259</v>
      </c>
      <c r="K291" s="9">
        <v>742306.35360621521</v>
      </c>
      <c r="L291" s="9">
        <v>3809.2363937847549</v>
      </c>
    </row>
    <row r="292" spans="1:12">
      <c r="A292" s="9">
        <f>'Cleaned Data'!M292</f>
        <v>813316.71</v>
      </c>
      <c r="B292" s="9">
        <f>'Cleaned Data'!F292</f>
        <v>8300</v>
      </c>
      <c r="C292">
        <f>'Cleaned Data'!H292</f>
        <v>21</v>
      </c>
      <c r="D292">
        <f>'Cleaned Data'!E292</f>
        <v>56737.3</v>
      </c>
      <c r="E292">
        <f>'Cleaned Data'!K292</f>
        <v>1</v>
      </c>
      <c r="F292">
        <f>'Dummy Variables'!O292</f>
        <v>0</v>
      </c>
      <c r="G292">
        <f>'Dummy Variables'!P292</f>
        <v>0</v>
      </c>
      <c r="H292">
        <f>'Dummy Variables'!Q292</f>
        <v>0</v>
      </c>
      <c r="J292" s="9">
        <v>260</v>
      </c>
      <c r="K292" s="9">
        <v>716961.44109889877</v>
      </c>
      <c r="L292" s="9">
        <v>59148.878901101183</v>
      </c>
    </row>
    <row r="293" spans="1:12">
      <c r="A293" s="9">
        <f>'Cleaned Data'!M293</f>
        <v>702068.92</v>
      </c>
      <c r="B293" s="9">
        <f>'Cleaned Data'!F293</f>
        <v>7083</v>
      </c>
      <c r="C293">
        <f>'Cleaned Data'!H293</f>
        <v>15</v>
      </c>
      <c r="D293">
        <f>'Cleaned Data'!E293</f>
        <v>54080.91</v>
      </c>
      <c r="E293">
        <f>'Cleaned Data'!K293</f>
        <v>0</v>
      </c>
      <c r="F293">
        <f>'Dummy Variables'!O293</f>
        <v>0</v>
      </c>
      <c r="G293">
        <f>'Dummy Variables'!P293</f>
        <v>0</v>
      </c>
      <c r="H293">
        <f>'Dummy Variables'!Q293</f>
        <v>0</v>
      </c>
      <c r="J293" s="9">
        <v>261</v>
      </c>
      <c r="K293" s="9">
        <v>521188.66661757295</v>
      </c>
      <c r="L293" s="9">
        <v>7663.9533824270475</v>
      </c>
    </row>
    <row r="294" spans="1:12">
      <c r="A294" s="9">
        <f>'Cleaned Data'!M294</f>
        <v>546223.69999999995</v>
      </c>
      <c r="B294" s="9">
        <f>'Cleaned Data'!F294</f>
        <v>3834</v>
      </c>
      <c r="C294">
        <f>'Cleaned Data'!H294</f>
        <v>8</v>
      </c>
      <c r="D294">
        <f>'Cleaned Data'!E294</f>
        <v>51996.32</v>
      </c>
      <c r="E294">
        <f>'Cleaned Data'!K294</f>
        <v>0</v>
      </c>
      <c r="F294">
        <f>'Dummy Variables'!O294</f>
        <v>0</v>
      </c>
      <c r="G294">
        <f>'Dummy Variables'!P294</f>
        <v>0</v>
      </c>
      <c r="H294">
        <f>'Dummy Variables'!Q294</f>
        <v>1</v>
      </c>
      <c r="J294" s="9">
        <v>262</v>
      </c>
      <c r="K294" s="9">
        <v>611687.32837786479</v>
      </c>
      <c r="L294" s="9">
        <v>-5935.9983778648311</v>
      </c>
    </row>
    <row r="295" spans="1:12">
      <c r="A295" s="9">
        <f>'Cleaned Data'!M295</f>
        <v>533121.26</v>
      </c>
      <c r="B295" s="9">
        <f>'Cleaned Data'!F295</f>
        <v>2358</v>
      </c>
      <c r="C295">
        <f>'Cleaned Data'!H295</f>
        <v>9</v>
      </c>
      <c r="D295">
        <f>'Cleaned Data'!E295</f>
        <v>40102.879999999997</v>
      </c>
      <c r="E295">
        <f>'Cleaned Data'!K295</f>
        <v>0</v>
      </c>
      <c r="F295">
        <f>'Dummy Variables'!O295</f>
        <v>0</v>
      </c>
      <c r="G295">
        <f>'Dummy Variables'!P295</f>
        <v>0</v>
      </c>
      <c r="H295">
        <f>'Dummy Variables'!Q295</f>
        <v>1</v>
      </c>
      <c r="J295" s="9">
        <v>263</v>
      </c>
      <c r="K295" s="9">
        <v>632091.89610078989</v>
      </c>
      <c r="L295" s="9">
        <v>45548.753899210133</v>
      </c>
    </row>
    <row r="296" spans="1:12">
      <c r="A296" s="9">
        <f>'Cleaned Data'!M296</f>
        <v>498970.32</v>
      </c>
      <c r="B296" s="9">
        <f>'Cleaned Data'!F296</f>
        <v>1231</v>
      </c>
      <c r="C296">
        <f>'Cleaned Data'!H296</f>
        <v>10</v>
      </c>
      <c r="D296">
        <f>'Cleaned Data'!E296</f>
        <v>59825.51</v>
      </c>
      <c r="E296">
        <f>'Cleaned Data'!K296</f>
        <v>0</v>
      </c>
      <c r="F296">
        <f>'Dummy Variables'!O296</f>
        <v>0</v>
      </c>
      <c r="G296">
        <f>'Dummy Variables'!P296</f>
        <v>0</v>
      </c>
      <c r="H296">
        <f>'Dummy Variables'!Q296</f>
        <v>1</v>
      </c>
      <c r="J296" s="9">
        <v>264</v>
      </c>
      <c r="K296" s="9">
        <v>604588.75139949878</v>
      </c>
      <c r="L296" s="9">
        <v>32024.478600501199</v>
      </c>
    </row>
    <row r="297" spans="1:12">
      <c r="A297" s="9">
        <f>'Cleaned Data'!M297</f>
        <v>487738.26</v>
      </c>
      <c r="B297" s="9">
        <f>'Cleaned Data'!F297</f>
        <v>1723</v>
      </c>
      <c r="C297">
        <f>'Cleaned Data'!H297</f>
        <v>9</v>
      </c>
      <c r="D297">
        <f>'Cleaned Data'!E297</f>
        <v>27398.28</v>
      </c>
      <c r="E297">
        <f>'Cleaned Data'!K297</f>
        <v>0</v>
      </c>
      <c r="F297">
        <f>'Dummy Variables'!O297</f>
        <v>0</v>
      </c>
      <c r="G297">
        <f>'Dummy Variables'!P297</f>
        <v>0</v>
      </c>
      <c r="H297">
        <f>'Dummy Variables'!Q297</f>
        <v>1</v>
      </c>
      <c r="J297" s="9">
        <v>265</v>
      </c>
      <c r="K297" s="9">
        <v>687035.65662959707</v>
      </c>
      <c r="L297" s="9">
        <v>21949.533370402874</v>
      </c>
    </row>
    <row r="298" spans="1:12">
      <c r="A298" s="9">
        <f>'Cleaned Data'!M298</f>
        <v>668459.37</v>
      </c>
      <c r="B298" s="9">
        <f>'Cleaned Data'!F298</f>
        <v>5896</v>
      </c>
      <c r="C298">
        <f>'Cleaned Data'!H298</f>
        <v>12</v>
      </c>
      <c r="D298">
        <f>'Cleaned Data'!E298</f>
        <v>55599.56</v>
      </c>
      <c r="E298">
        <f>'Cleaned Data'!K298</f>
        <v>0</v>
      </c>
      <c r="F298">
        <f>'Dummy Variables'!O298</f>
        <v>0</v>
      </c>
      <c r="G298">
        <f>'Dummy Variables'!P298</f>
        <v>0</v>
      </c>
      <c r="H298">
        <f>'Dummy Variables'!Q298</f>
        <v>1</v>
      </c>
      <c r="J298" s="9">
        <v>266</v>
      </c>
      <c r="K298" s="9">
        <v>738624.00813601865</v>
      </c>
      <c r="L298" s="9">
        <v>29168.931863981299</v>
      </c>
    </row>
    <row r="299" spans="1:12">
      <c r="A299" s="9">
        <f>'Cleaned Data'!M299</f>
        <v>763162.45</v>
      </c>
      <c r="B299" s="9">
        <f>'Cleaned Data'!F299</f>
        <v>5903</v>
      </c>
      <c r="C299">
        <f>'Cleaned Data'!H299</f>
        <v>14</v>
      </c>
      <c r="D299">
        <f>'Cleaned Data'!E299</f>
        <v>55477.61</v>
      </c>
      <c r="E299">
        <f>'Cleaned Data'!K299</f>
        <v>0</v>
      </c>
      <c r="F299">
        <f>'Dummy Variables'!O299</f>
        <v>0</v>
      </c>
      <c r="G299">
        <f>'Dummy Variables'!P299</f>
        <v>0</v>
      </c>
      <c r="H299">
        <f>'Dummy Variables'!Q299</f>
        <v>1</v>
      </c>
      <c r="J299" s="9">
        <v>267</v>
      </c>
      <c r="K299" s="9">
        <v>717087.49430895026</v>
      </c>
      <c r="L299" s="9">
        <v>28493.015691049746</v>
      </c>
    </row>
    <row r="300" spans="1:12">
      <c r="A300" s="9">
        <f>'Cleaned Data'!M300</f>
        <v>599017.32999999996</v>
      </c>
      <c r="B300" s="9">
        <f>'Cleaned Data'!F300</f>
        <v>4898</v>
      </c>
      <c r="C300">
        <f>'Cleaned Data'!H300</f>
        <v>11</v>
      </c>
      <c r="D300">
        <f>'Cleaned Data'!E300</f>
        <v>46174.7</v>
      </c>
      <c r="E300">
        <f>'Cleaned Data'!K300</f>
        <v>0</v>
      </c>
      <c r="F300">
        <f>'Dummy Variables'!O300</f>
        <v>0</v>
      </c>
      <c r="G300">
        <f>'Dummy Variables'!P300</f>
        <v>0</v>
      </c>
      <c r="H300">
        <f>'Dummy Variables'!Q300</f>
        <v>1</v>
      </c>
      <c r="J300" s="9">
        <v>268</v>
      </c>
      <c r="K300" s="9">
        <v>694511.15662168211</v>
      </c>
      <c r="L300" s="9">
        <v>67817.153378317947</v>
      </c>
    </row>
    <row r="301" spans="1:12">
      <c r="A301" s="9">
        <f>'Cleaned Data'!M301</f>
        <v>401582.58</v>
      </c>
      <c r="B301" s="9">
        <f>'Cleaned Data'!F301</f>
        <v>1462</v>
      </c>
      <c r="C301">
        <f>'Cleaned Data'!H301</f>
        <v>6</v>
      </c>
      <c r="D301">
        <f>'Cleaned Data'!E301</f>
        <v>24362.98</v>
      </c>
      <c r="E301">
        <f>'Cleaned Data'!K301</f>
        <v>0</v>
      </c>
      <c r="F301">
        <f>'Dummy Variables'!O301</f>
        <v>0</v>
      </c>
      <c r="G301">
        <f>'Dummy Variables'!P301</f>
        <v>0</v>
      </c>
      <c r="H301">
        <f>'Dummy Variables'!Q301</f>
        <v>1</v>
      </c>
      <c r="J301" s="9">
        <v>269</v>
      </c>
      <c r="K301" s="9">
        <v>699046.16350016103</v>
      </c>
      <c r="L301" s="9">
        <v>-38412.173500161036</v>
      </c>
    </row>
    <row r="302" spans="1:12">
      <c r="A302" s="9">
        <f>'Cleaned Data'!M302</f>
        <v>703812.99</v>
      </c>
      <c r="B302" s="9">
        <f>'Cleaned Data'!F302</f>
        <v>8252</v>
      </c>
      <c r="C302">
        <f>'Cleaned Data'!H302</f>
        <v>22</v>
      </c>
      <c r="D302">
        <f>'Cleaned Data'!E302</f>
        <v>40647.67</v>
      </c>
      <c r="E302">
        <f>'Cleaned Data'!K302</f>
        <v>1</v>
      </c>
      <c r="F302">
        <f>'Dummy Variables'!O302</f>
        <v>1</v>
      </c>
      <c r="G302">
        <f>'Dummy Variables'!P302</f>
        <v>0</v>
      </c>
      <c r="H302">
        <f>'Dummy Variables'!Q302</f>
        <v>0</v>
      </c>
      <c r="J302" s="9">
        <v>270</v>
      </c>
      <c r="K302" s="9">
        <v>679052.17996098311</v>
      </c>
      <c r="L302" s="9">
        <v>60322.380039016949</v>
      </c>
    </row>
    <row r="303" spans="1:12">
      <c r="A303" s="9">
        <f>'Cleaned Data'!M303</f>
        <v>724346.73</v>
      </c>
      <c r="B303" s="9">
        <f>'Cleaned Data'!F303</f>
        <v>7989</v>
      </c>
      <c r="C303">
        <f>'Cleaned Data'!H303</f>
        <v>20</v>
      </c>
      <c r="D303">
        <f>'Cleaned Data'!E303</f>
        <v>63986.98</v>
      </c>
      <c r="E303">
        <f>'Cleaned Data'!K303</f>
        <v>0</v>
      </c>
      <c r="F303">
        <f>'Dummy Variables'!O303</f>
        <v>1</v>
      </c>
      <c r="G303">
        <f>'Dummy Variables'!P303</f>
        <v>0</v>
      </c>
      <c r="H303">
        <f>'Dummy Variables'!Q303</f>
        <v>0</v>
      </c>
      <c r="J303" s="9">
        <v>271</v>
      </c>
      <c r="K303" s="9">
        <v>800608.17585676862</v>
      </c>
      <c r="L303" s="9">
        <v>-851.71585676865652</v>
      </c>
    </row>
    <row r="304" spans="1:12">
      <c r="A304" s="9">
        <f>'Cleaned Data'!M304</f>
        <v>730890.01</v>
      </c>
      <c r="B304" s="9">
        <f>'Cleaned Data'!F304</f>
        <v>8268</v>
      </c>
      <c r="C304">
        <f>'Cleaned Data'!H304</f>
        <v>19</v>
      </c>
      <c r="D304">
        <f>'Cleaned Data'!E304</f>
        <v>52843.75</v>
      </c>
      <c r="E304">
        <f>'Cleaned Data'!K304</f>
        <v>1</v>
      </c>
      <c r="F304">
        <f>'Dummy Variables'!O304</f>
        <v>1</v>
      </c>
      <c r="G304">
        <f>'Dummy Variables'!P304</f>
        <v>0</v>
      </c>
      <c r="H304">
        <f>'Dummy Variables'!Q304</f>
        <v>0</v>
      </c>
      <c r="J304" s="9">
        <v>272</v>
      </c>
      <c r="K304" s="9">
        <v>656916.96418016066</v>
      </c>
      <c r="L304" s="9">
        <v>-63573.964180160663</v>
      </c>
    </row>
    <row r="305" spans="1:12">
      <c r="A305" s="9">
        <f>'Cleaned Data'!M305</f>
        <v>780580.95</v>
      </c>
      <c r="B305" s="9">
        <f>'Cleaned Data'!F305</f>
        <v>8183</v>
      </c>
      <c r="C305">
        <f>'Cleaned Data'!H305</f>
        <v>18</v>
      </c>
      <c r="D305">
        <f>'Cleaned Data'!E305</f>
        <v>31997.25</v>
      </c>
      <c r="E305">
        <f>'Cleaned Data'!K305</f>
        <v>0</v>
      </c>
      <c r="F305">
        <f>'Dummy Variables'!O305</f>
        <v>1</v>
      </c>
      <c r="G305">
        <f>'Dummy Variables'!P305</f>
        <v>0</v>
      </c>
      <c r="H305">
        <f>'Dummy Variables'!Q305</f>
        <v>0</v>
      </c>
      <c r="J305" s="9">
        <v>273</v>
      </c>
      <c r="K305" s="9">
        <v>655707.00303013378</v>
      </c>
      <c r="L305" s="9">
        <v>-10667.033030133811</v>
      </c>
    </row>
    <row r="306" spans="1:12">
      <c r="A306" s="9">
        <f>'Cleaned Data'!M306</f>
        <v>727957.48</v>
      </c>
      <c r="B306" s="9">
        <f>'Cleaned Data'!F306</f>
        <v>6534</v>
      </c>
      <c r="C306">
        <f>'Cleaned Data'!H306</f>
        <v>14</v>
      </c>
      <c r="D306">
        <f>'Cleaned Data'!E306</f>
        <v>54948.02</v>
      </c>
      <c r="E306">
        <f>'Cleaned Data'!K306</f>
        <v>0</v>
      </c>
      <c r="F306">
        <f>'Dummy Variables'!O306</f>
        <v>0</v>
      </c>
      <c r="G306">
        <f>'Dummy Variables'!P306</f>
        <v>1</v>
      </c>
      <c r="H306">
        <f>'Dummy Variables'!Q306</f>
        <v>0</v>
      </c>
      <c r="J306" s="9">
        <v>274</v>
      </c>
      <c r="K306" s="9">
        <v>542062.25029843033</v>
      </c>
      <c r="L306" s="9">
        <v>19535.07970156963</v>
      </c>
    </row>
    <row r="307" spans="1:12">
      <c r="A307" s="9">
        <f>'Cleaned Data'!M307</f>
        <v>538376</v>
      </c>
      <c r="B307" s="9">
        <f>'Cleaned Data'!F307</f>
        <v>5804</v>
      </c>
      <c r="C307">
        <f>'Cleaned Data'!H307</f>
        <v>16</v>
      </c>
      <c r="D307">
        <f>'Cleaned Data'!E307</f>
        <v>46146.239999999998</v>
      </c>
      <c r="E307">
        <f>'Cleaned Data'!K307</f>
        <v>0</v>
      </c>
      <c r="F307">
        <f>'Dummy Variables'!O307</f>
        <v>0</v>
      </c>
      <c r="G307">
        <f>'Dummy Variables'!P307</f>
        <v>1</v>
      </c>
      <c r="H307">
        <f>'Dummy Variables'!Q307</f>
        <v>0</v>
      </c>
      <c r="J307" s="9">
        <v>275</v>
      </c>
      <c r="K307" s="9">
        <v>654714.2193648027</v>
      </c>
      <c r="L307" s="9">
        <v>-18876.479364802712</v>
      </c>
    </row>
    <row r="308" spans="1:12">
      <c r="A308" s="9">
        <f>'Cleaned Data'!M308</f>
        <v>665342.49</v>
      </c>
      <c r="B308" s="9">
        <f>'Cleaned Data'!F308</f>
        <v>6301</v>
      </c>
      <c r="C308">
        <f>'Cleaned Data'!H308</f>
        <v>14</v>
      </c>
      <c r="D308">
        <f>'Cleaned Data'!E308</f>
        <v>22387.26</v>
      </c>
      <c r="E308">
        <f>'Cleaned Data'!K308</f>
        <v>1</v>
      </c>
      <c r="F308">
        <f>'Dummy Variables'!O308</f>
        <v>0</v>
      </c>
      <c r="G308">
        <f>'Dummy Variables'!P308</f>
        <v>1</v>
      </c>
      <c r="H308">
        <f>'Dummy Variables'!Q308</f>
        <v>0</v>
      </c>
      <c r="J308" s="9">
        <v>276</v>
      </c>
      <c r="K308" s="9">
        <v>650084.80845147301</v>
      </c>
      <c r="L308" s="9">
        <v>36653.061548526981</v>
      </c>
    </row>
    <row r="309" spans="1:12">
      <c r="A309" s="9">
        <f>'Cleaned Data'!M309</f>
        <v>651164.18000000005</v>
      </c>
      <c r="B309" s="9">
        <f>'Cleaned Data'!F309</f>
        <v>6399</v>
      </c>
      <c r="C309">
        <f>'Cleaned Data'!H309</f>
        <v>16</v>
      </c>
      <c r="D309">
        <f>'Cleaned Data'!E309</f>
        <v>60684.05</v>
      </c>
      <c r="E309">
        <f>'Cleaned Data'!K309</f>
        <v>0</v>
      </c>
      <c r="F309">
        <f>'Dummy Variables'!O309</f>
        <v>0</v>
      </c>
      <c r="G309">
        <f>'Dummy Variables'!P309</f>
        <v>1</v>
      </c>
      <c r="H309">
        <f>'Dummy Variables'!Q309</f>
        <v>0</v>
      </c>
      <c r="J309" s="9">
        <v>277</v>
      </c>
      <c r="K309" s="9">
        <v>767896.79328246252</v>
      </c>
      <c r="L309" s="9">
        <v>-94820.453282462549</v>
      </c>
    </row>
    <row r="310" spans="1:12">
      <c r="A310" s="9">
        <f>'Cleaned Data'!M310</f>
        <v>628538.30000000005</v>
      </c>
      <c r="B310" s="9">
        <f>'Cleaned Data'!F310</f>
        <v>5759</v>
      </c>
      <c r="C310">
        <f>'Cleaned Data'!H310</f>
        <v>13</v>
      </c>
      <c r="D310">
        <f>'Cleaned Data'!E310</f>
        <v>48465.599999999999</v>
      </c>
      <c r="E310">
        <f>'Cleaned Data'!K310</f>
        <v>0</v>
      </c>
      <c r="F310">
        <f>'Dummy Variables'!O310</f>
        <v>0</v>
      </c>
      <c r="G310">
        <f>'Dummy Variables'!P310</f>
        <v>1</v>
      </c>
      <c r="H310">
        <f>'Dummy Variables'!Q310</f>
        <v>0</v>
      </c>
      <c r="J310" s="9">
        <v>278</v>
      </c>
      <c r="K310" s="9">
        <v>715396.26016775251</v>
      </c>
      <c r="L310" s="9">
        <v>23152.159832247533</v>
      </c>
    </row>
    <row r="311" spans="1:12">
      <c r="A311" s="9">
        <f>'Cleaned Data'!M311</f>
        <v>536524.84</v>
      </c>
      <c r="B311" s="9">
        <f>'Cleaned Data'!F311</f>
        <v>5285</v>
      </c>
      <c r="C311">
        <f>'Cleaned Data'!H311</f>
        <v>14</v>
      </c>
      <c r="D311">
        <f>'Cleaned Data'!E311</f>
        <v>23702.38</v>
      </c>
      <c r="E311">
        <f>'Cleaned Data'!K311</f>
        <v>0</v>
      </c>
      <c r="F311">
        <f>'Dummy Variables'!O311</f>
        <v>0</v>
      </c>
      <c r="G311">
        <f>'Dummy Variables'!P311</f>
        <v>1</v>
      </c>
      <c r="H311">
        <f>'Dummy Variables'!Q311</f>
        <v>0</v>
      </c>
      <c r="J311" s="9">
        <v>279</v>
      </c>
      <c r="K311" s="9">
        <v>765237.71287587204</v>
      </c>
      <c r="L311" s="9">
        <v>-8617.9428758720169</v>
      </c>
    </row>
    <row r="312" spans="1:12">
      <c r="A312" s="9">
        <f>'Cleaned Data'!M312</f>
        <v>621677.30000000005</v>
      </c>
      <c r="B312" s="9">
        <f>'Cleaned Data'!F312</f>
        <v>5434</v>
      </c>
      <c r="C312">
        <f>'Cleaned Data'!H312</f>
        <v>13</v>
      </c>
      <c r="D312">
        <f>'Cleaned Data'!E312</f>
        <v>54322.94</v>
      </c>
      <c r="E312">
        <f>'Cleaned Data'!K312</f>
        <v>0</v>
      </c>
      <c r="F312">
        <f>'Dummy Variables'!O312</f>
        <v>0</v>
      </c>
      <c r="G312">
        <f>'Dummy Variables'!P312</f>
        <v>1</v>
      </c>
      <c r="H312">
        <f>'Dummy Variables'!Q312</f>
        <v>0</v>
      </c>
      <c r="J312" s="9">
        <v>280</v>
      </c>
      <c r="K312" s="9">
        <v>795128.91334525368</v>
      </c>
      <c r="L312" s="9">
        <v>-34006.493345253635</v>
      </c>
    </row>
    <row r="313" spans="1:12">
      <c r="A313" s="9">
        <f>'Cleaned Data'!M313</f>
        <v>771129.07</v>
      </c>
      <c r="B313" s="9">
        <f>'Cleaned Data'!F313</f>
        <v>7479</v>
      </c>
      <c r="C313">
        <f>'Cleaned Data'!H313</f>
        <v>20</v>
      </c>
      <c r="D313">
        <f>'Cleaned Data'!E313</f>
        <v>86026.58</v>
      </c>
      <c r="E313">
        <f>'Cleaned Data'!K313</f>
        <v>0</v>
      </c>
      <c r="F313">
        <f>'Dummy Variables'!O313</f>
        <v>0</v>
      </c>
      <c r="G313">
        <f>'Dummy Variables'!P313</f>
        <v>1</v>
      </c>
      <c r="H313">
        <f>'Dummy Variables'!Q313</f>
        <v>0</v>
      </c>
      <c r="J313" s="9">
        <v>281</v>
      </c>
      <c r="K313" s="9">
        <v>600640.05215985375</v>
      </c>
      <c r="L313" s="9">
        <v>-75740.482159853796</v>
      </c>
    </row>
    <row r="314" spans="1:12">
      <c r="A314" s="9">
        <f>'Cleaned Data'!M314</f>
        <v>702052.47</v>
      </c>
      <c r="B314" s="9">
        <f>'Cleaned Data'!F314</f>
        <v>6164</v>
      </c>
      <c r="C314">
        <f>'Cleaned Data'!H314</f>
        <v>16</v>
      </c>
      <c r="D314">
        <f>'Cleaned Data'!E314</f>
        <v>78967.520000000004</v>
      </c>
      <c r="E314">
        <f>'Cleaned Data'!K314</f>
        <v>0</v>
      </c>
      <c r="F314">
        <f>'Dummy Variables'!O314</f>
        <v>1</v>
      </c>
      <c r="G314">
        <f>'Dummy Variables'!P314</f>
        <v>0</v>
      </c>
      <c r="H314">
        <f>'Dummy Variables'!Q314</f>
        <v>0</v>
      </c>
      <c r="J314" s="9">
        <v>282</v>
      </c>
      <c r="K314" s="9">
        <v>596989.90680644917</v>
      </c>
      <c r="L314" s="9">
        <v>-41432.136806449154</v>
      </c>
    </row>
    <row r="315" spans="1:12">
      <c r="A315" s="9">
        <f>'Cleaned Data'!M315</f>
        <v>688368.46</v>
      </c>
      <c r="B315" s="9">
        <f>'Cleaned Data'!F315</f>
        <v>7973</v>
      </c>
      <c r="C315">
        <f>'Cleaned Data'!H315</f>
        <v>18</v>
      </c>
      <c r="D315">
        <f>'Cleaned Data'!E315</f>
        <v>46767.99</v>
      </c>
      <c r="E315">
        <f>'Cleaned Data'!K315</f>
        <v>0</v>
      </c>
      <c r="F315">
        <f>'Dummy Variables'!O315</f>
        <v>1</v>
      </c>
      <c r="G315">
        <f>'Dummy Variables'!P315</f>
        <v>0</v>
      </c>
      <c r="H315">
        <f>'Dummy Variables'!Q315</f>
        <v>0</v>
      </c>
      <c r="J315" s="9">
        <v>283</v>
      </c>
      <c r="K315" s="9">
        <v>677956.31046558858</v>
      </c>
      <c r="L315" s="9">
        <v>36127.369534411468</v>
      </c>
    </row>
    <row r="316" spans="1:12">
      <c r="A316" s="9">
        <f>'Cleaned Data'!M316</f>
        <v>712375.77</v>
      </c>
      <c r="B316" s="9">
        <f>'Cleaned Data'!F316</f>
        <v>6000</v>
      </c>
      <c r="C316">
        <f>'Cleaned Data'!H316</f>
        <v>14</v>
      </c>
      <c r="D316">
        <f>'Cleaned Data'!E316</f>
        <v>62507.16</v>
      </c>
      <c r="E316">
        <f>'Cleaned Data'!K316</f>
        <v>1</v>
      </c>
      <c r="F316">
        <f>'Dummy Variables'!O316</f>
        <v>1</v>
      </c>
      <c r="G316">
        <f>'Dummy Variables'!P316</f>
        <v>0</v>
      </c>
      <c r="H316">
        <f>'Dummy Variables'!Q316</f>
        <v>0</v>
      </c>
      <c r="J316" s="9">
        <v>284</v>
      </c>
      <c r="K316" s="9">
        <v>530456.11185042467</v>
      </c>
      <c r="L316" s="9">
        <v>-33016.291850424663</v>
      </c>
    </row>
    <row r="317" spans="1:12">
      <c r="A317" s="9">
        <f>'Cleaned Data'!M317</f>
        <v>844710.67</v>
      </c>
      <c r="B317" s="9">
        <f>'Cleaned Data'!F317</f>
        <v>9967</v>
      </c>
      <c r="C317">
        <f>'Cleaned Data'!H317</f>
        <v>20</v>
      </c>
      <c r="D317">
        <f>'Cleaned Data'!E317</f>
        <v>66456.28</v>
      </c>
      <c r="E317">
        <f>'Cleaned Data'!K317</f>
        <v>0</v>
      </c>
      <c r="F317">
        <f>'Dummy Variables'!O317</f>
        <v>1</v>
      </c>
      <c r="G317">
        <f>'Dummy Variables'!P317</f>
        <v>0</v>
      </c>
      <c r="H317">
        <f>'Dummy Variables'!Q317</f>
        <v>0</v>
      </c>
      <c r="J317" s="9">
        <v>285</v>
      </c>
      <c r="K317" s="9">
        <v>665976.56228211685</v>
      </c>
      <c r="L317" s="9">
        <v>-29200.902282116818</v>
      </c>
    </row>
    <row r="318" spans="1:12">
      <c r="A318" s="9">
        <f>'Cleaned Data'!M318</f>
        <v>620264.19999999995</v>
      </c>
      <c r="B318" s="9">
        <f>'Cleaned Data'!F318</f>
        <v>5639</v>
      </c>
      <c r="C318">
        <f>'Cleaned Data'!H318</f>
        <v>15</v>
      </c>
      <c r="D318">
        <f>'Cleaned Data'!E318</f>
        <v>76614.320000000007</v>
      </c>
      <c r="E318">
        <f>'Cleaned Data'!K318</f>
        <v>1</v>
      </c>
      <c r="F318">
        <f>'Dummy Variables'!O318</f>
        <v>0</v>
      </c>
      <c r="G318">
        <f>'Dummy Variables'!P318</f>
        <v>0</v>
      </c>
      <c r="H318">
        <f>'Dummy Variables'!Q318</f>
        <v>0</v>
      </c>
      <c r="J318" s="9">
        <v>286</v>
      </c>
      <c r="K318" s="9">
        <v>631613.24193842569</v>
      </c>
      <c r="L318" s="9">
        <v>1396.2880615743343</v>
      </c>
    </row>
    <row r="319" spans="1:12">
      <c r="A319" s="9">
        <f>'Cleaned Data'!M319</f>
        <v>536845.42000000004</v>
      </c>
      <c r="B319" s="9">
        <f>'Cleaned Data'!F319</f>
        <v>3466</v>
      </c>
      <c r="C319">
        <f>'Cleaned Data'!H319</f>
        <v>11</v>
      </c>
      <c r="D319">
        <f>'Cleaned Data'!E319</f>
        <v>24088.06</v>
      </c>
      <c r="E319">
        <f>'Cleaned Data'!K319</f>
        <v>0</v>
      </c>
      <c r="F319">
        <f>'Dummy Variables'!O319</f>
        <v>0</v>
      </c>
      <c r="G319">
        <f>'Dummy Variables'!P319</f>
        <v>0</v>
      </c>
      <c r="H319">
        <f>'Dummy Variables'!Q319</f>
        <v>0</v>
      </c>
      <c r="J319" s="9">
        <v>287</v>
      </c>
      <c r="K319" s="9">
        <v>614868.84101524355</v>
      </c>
      <c r="L319" s="9">
        <v>-4919.8410152435536</v>
      </c>
    </row>
    <row r="320" spans="1:12">
      <c r="A320" s="9">
        <f>'Cleaned Data'!M320</f>
        <v>726776.22</v>
      </c>
      <c r="B320" s="9">
        <f>'Cleaned Data'!F320</f>
        <v>7775</v>
      </c>
      <c r="C320">
        <f>'Cleaned Data'!H320</f>
        <v>20</v>
      </c>
      <c r="D320">
        <f>'Cleaned Data'!E320</f>
        <v>81902.58</v>
      </c>
      <c r="E320">
        <f>'Cleaned Data'!K320</f>
        <v>1</v>
      </c>
      <c r="F320">
        <f>'Dummy Variables'!O320</f>
        <v>0</v>
      </c>
      <c r="G320">
        <f>'Dummy Variables'!P320</f>
        <v>0</v>
      </c>
      <c r="H320">
        <f>'Dummy Variables'!Q320</f>
        <v>0</v>
      </c>
      <c r="J320" s="9">
        <v>288</v>
      </c>
      <c r="K320" s="9">
        <v>588817.96554928995</v>
      </c>
      <c r="L320" s="9">
        <v>-40714.265549289994</v>
      </c>
    </row>
    <row r="321" spans="1:12">
      <c r="A321" s="9">
        <f>'Cleaned Data'!M321</f>
        <v>559660.84</v>
      </c>
      <c r="B321" s="9">
        <f>'Cleaned Data'!F321</f>
        <v>5317</v>
      </c>
      <c r="C321">
        <f>'Cleaned Data'!H321</f>
        <v>17</v>
      </c>
      <c r="D321">
        <f>'Cleaned Data'!E321</f>
        <v>40553.11</v>
      </c>
      <c r="E321">
        <f>'Cleaned Data'!K321</f>
        <v>0</v>
      </c>
      <c r="F321">
        <f>'Dummy Variables'!O321</f>
        <v>0</v>
      </c>
      <c r="G321">
        <f>'Dummy Variables'!P321</f>
        <v>0</v>
      </c>
      <c r="H321">
        <f>'Dummy Variables'!Q321</f>
        <v>0</v>
      </c>
      <c r="J321" s="9">
        <v>289</v>
      </c>
      <c r="K321" s="9">
        <v>752041.50666440977</v>
      </c>
      <c r="L321" s="9">
        <v>-22617.086664409726</v>
      </c>
    </row>
    <row r="322" spans="1:12">
      <c r="J322" s="9">
        <v>290</v>
      </c>
      <c r="K322" s="9">
        <v>728261.27813193097</v>
      </c>
      <c r="L322" s="9">
        <v>-31999.788131930982</v>
      </c>
    </row>
    <row r="323" spans="1:12">
      <c r="J323" s="9">
        <v>291</v>
      </c>
      <c r="K323" s="9">
        <v>739197.08200765133</v>
      </c>
      <c r="L323" s="9">
        <v>74119.627992348629</v>
      </c>
    </row>
    <row r="324" spans="1:12">
      <c r="J324" s="9">
        <v>292</v>
      </c>
      <c r="K324" s="9">
        <v>674402.86698939616</v>
      </c>
      <c r="L324" s="9">
        <v>27666.053010603879</v>
      </c>
    </row>
    <row r="325" spans="1:12">
      <c r="J325" s="9">
        <v>293</v>
      </c>
      <c r="K325" s="9">
        <v>582233.25171794428</v>
      </c>
      <c r="L325" s="9">
        <v>-36009.551717944327</v>
      </c>
    </row>
    <row r="326" spans="1:12">
      <c r="J326" s="9">
        <v>294</v>
      </c>
      <c r="K326" s="9">
        <v>527776.78570393636</v>
      </c>
      <c r="L326" s="9">
        <v>5344.4742960636504</v>
      </c>
    </row>
    <row r="327" spans="1:12">
      <c r="J327" s="9">
        <v>295</v>
      </c>
      <c r="K327" s="9">
        <v>519488.73494310165</v>
      </c>
      <c r="L327" s="9">
        <v>-20518.414943101641</v>
      </c>
    </row>
    <row r="328" spans="1:12">
      <c r="J328" s="9">
        <v>296</v>
      </c>
      <c r="K328" s="9">
        <v>494728.62283463188</v>
      </c>
      <c r="L328" s="9">
        <v>-6990.3628346318728</v>
      </c>
    </row>
    <row r="329" spans="1:12">
      <c r="J329" s="9">
        <v>297</v>
      </c>
      <c r="K329" s="9">
        <v>655983.4197100976</v>
      </c>
      <c r="L329" s="9">
        <v>12475.950289902394</v>
      </c>
    </row>
    <row r="330" spans="1:12">
      <c r="J330" s="9">
        <v>298</v>
      </c>
      <c r="K330" s="9">
        <v>660669.6209800262</v>
      </c>
      <c r="L330" s="9">
        <v>102492.82901997375</v>
      </c>
    </row>
    <row r="331" spans="1:12">
      <c r="J331" s="9">
        <v>299</v>
      </c>
      <c r="K331" s="9">
        <v>613718.50174252316</v>
      </c>
      <c r="L331" s="9">
        <v>-14701.171742523205</v>
      </c>
    </row>
    <row r="332" spans="1:12">
      <c r="J332" s="9">
        <v>300</v>
      </c>
      <c r="K332" s="9">
        <v>476701.27486047382</v>
      </c>
      <c r="L332" s="9">
        <v>-75118.694860473799</v>
      </c>
    </row>
    <row r="333" spans="1:12">
      <c r="J333" s="9">
        <v>301</v>
      </c>
      <c r="K333" s="9">
        <v>734675.94749993738</v>
      </c>
      <c r="L333" s="9">
        <v>-30862.957499937387</v>
      </c>
    </row>
    <row r="334" spans="1:12">
      <c r="J334" s="9">
        <v>302</v>
      </c>
      <c r="K334" s="9">
        <v>736625.88181416225</v>
      </c>
      <c r="L334" s="9">
        <v>-12279.151814162266</v>
      </c>
    </row>
    <row r="335" spans="1:12">
      <c r="J335" s="9">
        <v>303</v>
      </c>
      <c r="K335" s="9">
        <v>742080.36481870897</v>
      </c>
      <c r="L335" s="9">
        <v>-11190.354818708962</v>
      </c>
    </row>
    <row r="336" spans="1:12">
      <c r="J336" s="9">
        <v>304</v>
      </c>
      <c r="K336" s="9">
        <v>701322.20700265013</v>
      </c>
      <c r="L336" s="9">
        <v>79258.742997349822</v>
      </c>
    </row>
    <row r="337" spans="10:12">
      <c r="J337" s="9">
        <v>305</v>
      </c>
      <c r="K337" s="9">
        <v>681460.47419522295</v>
      </c>
      <c r="L337" s="9">
        <v>46497.005804777029</v>
      </c>
    </row>
    <row r="338" spans="10:12">
      <c r="J338" s="9">
        <v>306</v>
      </c>
      <c r="K338" s="9">
        <v>654685.63516405888</v>
      </c>
      <c r="L338" s="9">
        <v>-116309.63516405888</v>
      </c>
    </row>
    <row r="339" spans="10:12">
      <c r="J339" s="9">
        <v>307</v>
      </c>
      <c r="K339" s="9">
        <v>649875.03209519328</v>
      </c>
      <c r="L339" s="9">
        <v>15467.45790480671</v>
      </c>
    </row>
    <row r="340" spans="10:12">
      <c r="J340" s="9">
        <v>308</v>
      </c>
      <c r="K340" s="9">
        <v>688645.94971219136</v>
      </c>
      <c r="L340" s="9">
        <v>-37481.769712191308</v>
      </c>
    </row>
    <row r="341" spans="10:12">
      <c r="J341" s="9">
        <v>309</v>
      </c>
      <c r="K341" s="9">
        <v>649074.35372621485</v>
      </c>
      <c r="L341" s="9">
        <v>-20536.053726214799</v>
      </c>
    </row>
    <row r="342" spans="10:12">
      <c r="J342" s="9">
        <v>310</v>
      </c>
      <c r="K342" s="9">
        <v>609344.19820483436</v>
      </c>
      <c r="L342" s="9">
        <v>-72819.358204834396</v>
      </c>
    </row>
    <row r="343" spans="10:12">
      <c r="J343" s="9">
        <v>311</v>
      </c>
      <c r="K343" s="9">
        <v>646211.206050187</v>
      </c>
      <c r="L343" s="9">
        <v>-24533.906050186954</v>
      </c>
    </row>
    <row r="344" spans="10:12">
      <c r="J344" s="9">
        <v>312</v>
      </c>
      <c r="K344" s="9">
        <v>758339.19330672326</v>
      </c>
      <c r="L344" s="9">
        <v>12789.876693276688</v>
      </c>
    </row>
    <row r="345" spans="10:12">
      <c r="J345" s="9">
        <v>313</v>
      </c>
      <c r="K345" s="9">
        <v>690946.7401232759</v>
      </c>
      <c r="L345" s="9">
        <v>11105.729876724072</v>
      </c>
    </row>
    <row r="346" spans="10:12">
      <c r="J346" s="9">
        <v>314</v>
      </c>
      <c r="K346" s="9">
        <v>711961.73552545079</v>
      </c>
      <c r="L346" s="9">
        <v>-23593.275525450823</v>
      </c>
    </row>
    <row r="347" spans="10:12">
      <c r="J347" s="9">
        <v>315</v>
      </c>
      <c r="K347" s="9">
        <v>675067.10341317055</v>
      </c>
      <c r="L347" s="9">
        <v>37308.666586829466</v>
      </c>
    </row>
    <row r="348" spans="10:12">
      <c r="J348" s="9">
        <v>316</v>
      </c>
      <c r="K348" s="9">
        <v>797386.31204683124</v>
      </c>
      <c r="L348" s="9">
        <v>47324.357953168801</v>
      </c>
    </row>
    <row r="349" spans="10:12">
      <c r="J349" s="9">
        <v>317</v>
      </c>
      <c r="K349" s="9">
        <v>669970.95229737216</v>
      </c>
      <c r="L349" s="9">
        <v>-49706.752297372208</v>
      </c>
    </row>
    <row r="350" spans="10:12">
      <c r="J350" s="9">
        <v>318</v>
      </c>
      <c r="K350" s="9">
        <v>525091.60272248904</v>
      </c>
      <c r="L350" s="9">
        <v>11753.817277511</v>
      </c>
    </row>
    <row r="351" spans="10:12">
      <c r="J351" s="9">
        <v>319</v>
      </c>
      <c r="K351" s="9">
        <v>750114.74699912395</v>
      </c>
      <c r="L351" s="9">
        <v>-23338.526999123977</v>
      </c>
    </row>
    <row r="352" spans="10:12" ht="14.5" thickBot="1">
      <c r="J352" s="10">
        <v>320</v>
      </c>
      <c r="K352" s="10">
        <v>611901.55990307254</v>
      </c>
      <c r="L352" s="10">
        <v>-52240.719903072575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54077-EABA-498E-A4BA-7B7225E98F79}">
  <dimension ref="A1:D14"/>
  <sheetViews>
    <sheetView zoomScale="96" zoomScaleNormal="96" workbookViewId="0">
      <selection activeCell="C17" sqref="C17"/>
    </sheetView>
  </sheetViews>
  <sheetFormatPr defaultRowHeight="14"/>
  <cols>
    <col min="1" max="1" width="22.08203125" customWidth="1"/>
    <col min="2" max="2" width="29.33203125" customWidth="1"/>
    <col min="3" max="3" width="45.83203125" customWidth="1"/>
    <col min="4" max="4" width="60.4140625" customWidth="1"/>
  </cols>
  <sheetData>
    <row r="1" spans="1:4">
      <c r="A1" s="15" t="s">
        <v>148</v>
      </c>
    </row>
    <row r="3" spans="1:4">
      <c r="A3" s="19" t="s">
        <v>144</v>
      </c>
      <c r="B3" s="19" t="s">
        <v>145</v>
      </c>
      <c r="C3" s="19" t="s">
        <v>146</v>
      </c>
      <c r="D3" s="19" t="s">
        <v>147</v>
      </c>
    </row>
    <row r="4" spans="1:4">
      <c r="A4" s="20" t="s">
        <v>149</v>
      </c>
      <c r="B4" s="21" t="s">
        <v>12</v>
      </c>
      <c r="C4" s="21" t="s">
        <v>12</v>
      </c>
      <c r="D4" s="21" t="s">
        <v>12</v>
      </c>
    </row>
    <row r="5" spans="1:4" ht="28">
      <c r="A5" s="20" t="s">
        <v>150</v>
      </c>
      <c r="B5" s="21" t="s">
        <v>5</v>
      </c>
      <c r="C5" s="21" t="s">
        <v>4</v>
      </c>
      <c r="D5" s="21" t="s">
        <v>161</v>
      </c>
    </row>
    <row r="6" spans="1:4">
      <c r="A6" s="20" t="s">
        <v>117</v>
      </c>
      <c r="B6" s="21">
        <v>0.73599999999999999</v>
      </c>
      <c r="C6" s="21">
        <v>0.16700000000000001</v>
      </c>
      <c r="D6" s="21">
        <v>0.79400000000000004</v>
      </c>
    </row>
    <row r="7" spans="1:4">
      <c r="A7" s="20" t="s">
        <v>118</v>
      </c>
      <c r="B7" s="21">
        <v>0.73499999999999999</v>
      </c>
      <c r="C7" s="21">
        <v>0.16500000000000001</v>
      </c>
      <c r="D7" s="21">
        <v>0.78900000000000003</v>
      </c>
    </row>
    <row r="8" spans="1:4">
      <c r="A8" s="20" t="s">
        <v>119</v>
      </c>
      <c r="B8" s="22">
        <v>53374</v>
      </c>
      <c r="C8" s="22">
        <v>94846</v>
      </c>
      <c r="D8" s="22">
        <v>47621</v>
      </c>
    </row>
    <row r="9" spans="1:4">
      <c r="A9" s="20" t="s">
        <v>120</v>
      </c>
      <c r="B9" s="21">
        <v>320</v>
      </c>
      <c r="C9" s="21">
        <v>320</v>
      </c>
      <c r="D9" s="21">
        <v>320</v>
      </c>
    </row>
    <row r="10" spans="1:4">
      <c r="A10" s="20" t="s">
        <v>151</v>
      </c>
      <c r="B10" s="21" t="s">
        <v>5</v>
      </c>
      <c r="C10" s="21" t="s">
        <v>4</v>
      </c>
      <c r="D10" s="21" t="s">
        <v>162</v>
      </c>
    </row>
    <row r="11" spans="1:4">
      <c r="A11" s="20" t="s">
        <v>152</v>
      </c>
      <c r="B11" s="21" t="s">
        <v>156</v>
      </c>
      <c r="C11" s="21" t="s">
        <v>156</v>
      </c>
      <c r="D11" s="21" t="s">
        <v>163</v>
      </c>
    </row>
    <row r="12" spans="1:4">
      <c r="A12" s="20" t="s">
        <v>153</v>
      </c>
      <c r="B12" s="21">
        <v>4.7503615090054677E-94</v>
      </c>
      <c r="C12" s="21">
        <v>2.4800615101360068E-14</v>
      </c>
      <c r="D12" s="23">
        <v>4.069409595382999E-23</v>
      </c>
    </row>
    <row r="13" spans="1:4" ht="28">
      <c r="A13" s="20" t="s">
        <v>154</v>
      </c>
      <c r="B13" s="21" t="s">
        <v>157</v>
      </c>
      <c r="C13" s="21" t="s">
        <v>159</v>
      </c>
      <c r="D13" s="21" t="s">
        <v>164</v>
      </c>
    </row>
    <row r="14" spans="1:4" ht="28">
      <c r="A14" s="20" t="s">
        <v>155</v>
      </c>
      <c r="B14" s="21" t="s">
        <v>158</v>
      </c>
      <c r="C14" s="21" t="s">
        <v>160</v>
      </c>
      <c r="D14" s="21" t="s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C088-0F8D-44C8-94AE-AA1A153B8EC6}">
  <dimension ref="A1:O323"/>
  <sheetViews>
    <sheetView tabSelected="1" zoomScaleNormal="100" workbookViewId="0">
      <selection activeCell="I22" sqref="I22"/>
    </sheetView>
  </sheetViews>
  <sheetFormatPr defaultRowHeight="14"/>
  <cols>
    <col min="1" max="1" width="10.75" customWidth="1"/>
    <col min="2" max="2" width="12.5" customWidth="1"/>
    <col min="3" max="3" width="15.08203125" customWidth="1"/>
    <col min="4" max="4" width="14.25" customWidth="1"/>
    <col min="5" max="5" width="13.08203125" customWidth="1"/>
    <col min="6" max="6" width="12" customWidth="1"/>
    <col min="7" max="7" width="17.25" customWidth="1"/>
    <col min="9" max="9" width="11.6640625" customWidth="1"/>
    <col min="10" max="10" width="10.58203125" customWidth="1"/>
    <col min="11" max="11" width="9.6640625" customWidth="1"/>
    <col min="12" max="12" width="11.6640625" customWidth="1"/>
    <col min="13" max="13" width="11.83203125" customWidth="1"/>
    <col min="14" max="14" width="13.83203125" customWidth="1"/>
    <col min="15" max="15" width="9.9140625" customWidth="1"/>
  </cols>
  <sheetData>
    <row r="1" spans="1:15">
      <c r="A1" s="15" t="s">
        <v>166</v>
      </c>
      <c r="B1" s="15"/>
      <c r="C1" s="15"/>
      <c r="D1" s="15"/>
      <c r="E1" s="15"/>
    </row>
    <row r="3" spans="1:15">
      <c r="A3" s="16" t="s">
        <v>139</v>
      </c>
      <c r="B3" s="16" t="s">
        <v>167</v>
      </c>
      <c r="C3" s="16" t="s">
        <v>168</v>
      </c>
      <c r="D3" s="16" t="s">
        <v>123</v>
      </c>
      <c r="E3" s="16" t="s">
        <v>169</v>
      </c>
      <c r="F3" s="16" t="s">
        <v>170</v>
      </c>
      <c r="G3" s="16" t="s">
        <v>171</v>
      </c>
      <c r="I3" s="29" t="s">
        <v>172</v>
      </c>
      <c r="J3" s="29"/>
      <c r="K3" s="29"/>
      <c r="L3" s="29"/>
    </row>
    <row r="4" spans="1:15">
      <c r="A4">
        <v>1</v>
      </c>
      <c r="B4">
        <f>'Cleaned Data'!M2</f>
        <v>658832.62</v>
      </c>
      <c r="C4">
        <f>'Multiple Regression'!K33</f>
        <v>745536.40440293634</v>
      </c>
      <c r="D4">
        <f>'Multiple Regression'!L33</f>
        <v>-86703.784402936348</v>
      </c>
      <c r="E4" t="str">
        <f>'Cleaned Data'!A2</f>
        <v>STR-1001</v>
      </c>
      <c r="F4" t="str">
        <f>'Cleaned Data'!C2</f>
        <v>East</v>
      </c>
      <c r="G4" t="str">
        <f>'Cleaned Data'!D2</f>
        <v>Residential</v>
      </c>
      <c r="I4" s="26" t="s">
        <v>139</v>
      </c>
      <c r="J4" s="26" t="s">
        <v>169</v>
      </c>
      <c r="K4" s="26" t="s">
        <v>170</v>
      </c>
      <c r="L4" s="26" t="s">
        <v>171</v>
      </c>
      <c r="M4" s="26" t="s">
        <v>167</v>
      </c>
      <c r="N4" s="26" t="s">
        <v>168</v>
      </c>
      <c r="O4" s="26" t="s">
        <v>123</v>
      </c>
    </row>
    <row r="5" spans="1:15">
      <c r="A5">
        <v>2</v>
      </c>
      <c r="B5">
        <f>'Cleaned Data'!M3</f>
        <v>634436</v>
      </c>
      <c r="C5">
        <f>'Multiple Regression'!K34</f>
        <v>722361.2184174821</v>
      </c>
      <c r="D5">
        <f>'Multiple Regression'!L34</f>
        <v>-87925.218417482101</v>
      </c>
      <c r="E5" t="str">
        <f>'Cleaned Data'!A3</f>
        <v>STR-1001</v>
      </c>
      <c r="F5" t="str">
        <f>'Cleaned Data'!C3</f>
        <v>East</v>
      </c>
      <c r="G5" t="str">
        <f>'Cleaned Data'!D3</f>
        <v>Residential</v>
      </c>
      <c r="I5" s="27">
        <f>MATCH(O5,$D$4:$D$323,0)</f>
        <v>112</v>
      </c>
      <c r="J5" s="27" t="str">
        <f>INDEX($E$4:$E$323,MATCH(O5,$D$4:$D$323,0))</f>
        <v>STR-1028</v>
      </c>
      <c r="K5" s="27" t="str">
        <f>INDEX($F$4:$F$323,MATCH(O5,$D$4:$D$323,0))</f>
        <v>East</v>
      </c>
      <c r="L5" s="27" t="str">
        <f>INDEX($G$4:$G$323,MATCH(O5,$D$4:$D$323,0))</f>
        <v>Mall</v>
      </c>
      <c r="M5" s="27">
        <f>INDEX($B$4:$B$323,MATCH(O5,$D$4:$D$323,0))</f>
        <v>713611.16</v>
      </c>
      <c r="N5" s="27">
        <f>INDEX($C$4:$C$323,MATCH(O5,$D$4:$D$323,0))</f>
        <v>577486.68220818241</v>
      </c>
      <c r="O5" s="27">
        <f>LARGE($D$4:$D$323,1)</f>
        <v>136124.47779181763</v>
      </c>
    </row>
    <row r="6" spans="1:15">
      <c r="A6">
        <v>3</v>
      </c>
      <c r="B6">
        <f>'Cleaned Data'!M4</f>
        <v>678722.06</v>
      </c>
      <c r="C6">
        <f>'Multiple Regression'!K35</f>
        <v>752069.18800653575</v>
      </c>
      <c r="D6">
        <f>'Multiple Regression'!L35</f>
        <v>-73347.128006535699</v>
      </c>
      <c r="E6" t="str">
        <f>'Cleaned Data'!A4</f>
        <v>STR-1001</v>
      </c>
      <c r="F6" t="str">
        <f>'Cleaned Data'!C4</f>
        <v>East</v>
      </c>
      <c r="G6" t="str">
        <f>'Cleaned Data'!D4</f>
        <v>Residential</v>
      </c>
      <c r="I6" s="27">
        <f>MATCH(O6,$D$4:$D$323,0)</f>
        <v>104</v>
      </c>
      <c r="J6" s="27" t="str">
        <f t="shared" ref="J6:J9" si="0">INDEX($E$4:$E$323,MATCH(O6,$D$4:$D$323,0))</f>
        <v>STR-1026</v>
      </c>
      <c r="K6" s="27" t="str">
        <f t="shared" ref="K6:K9" si="1">INDEX($F$4:$F$323,MATCH(O6,$D$4:$D$323,0))</f>
        <v>East</v>
      </c>
      <c r="L6" s="27" t="str">
        <f t="shared" ref="L6:L9" si="2">INDEX($G$4:$G$323,MATCH(O6,$D$4:$D$323,0))</f>
        <v>Mall</v>
      </c>
      <c r="M6" s="27">
        <f t="shared" ref="M6:M9" si="3">INDEX($B$4:$B$323,MATCH(O6,$D$4:$D$323,0))</f>
        <v>625514.04</v>
      </c>
      <c r="N6" s="27">
        <f t="shared" ref="N6:N9" si="4">INDEX($C$4:$C$323,MATCH(O6,$D$4:$D$323,0))</f>
        <v>494327.60266300087</v>
      </c>
      <c r="O6" s="27">
        <f>LARGE($D$4:$D$323,2)</f>
        <v>131186.43733699917</v>
      </c>
    </row>
    <row r="7" spans="1:15">
      <c r="A7">
        <v>4</v>
      </c>
      <c r="B7">
        <f>'Cleaned Data'!M5</f>
        <v>658920.30000000005</v>
      </c>
      <c r="C7">
        <f>'Multiple Regression'!K36</f>
        <v>764831.23644784186</v>
      </c>
      <c r="D7">
        <f>'Multiple Regression'!L36</f>
        <v>-105910.93644784181</v>
      </c>
      <c r="E7" t="str">
        <f>'Cleaned Data'!A5</f>
        <v>STR-1001</v>
      </c>
      <c r="F7" t="str">
        <f>'Cleaned Data'!C5</f>
        <v>East</v>
      </c>
      <c r="G7" t="str">
        <f>'Cleaned Data'!D5</f>
        <v>Residential</v>
      </c>
      <c r="I7" s="27">
        <f t="shared" ref="I7:I9" si="5">MATCH(O7,$D$4:$D$323,0)</f>
        <v>202</v>
      </c>
      <c r="J7" s="27" t="str">
        <f t="shared" si="0"/>
        <v>STR-1051</v>
      </c>
      <c r="K7" s="27" t="str">
        <f t="shared" si="1"/>
        <v>East</v>
      </c>
      <c r="L7" s="27" t="str">
        <f t="shared" si="2"/>
        <v>Airport</v>
      </c>
      <c r="M7" s="27">
        <f t="shared" si="3"/>
        <v>787715.51</v>
      </c>
      <c r="N7" s="27">
        <f t="shared" si="4"/>
        <v>676769.69560976652</v>
      </c>
      <c r="O7" s="27">
        <f>LARGE($D$4:$D$323,3)</f>
        <v>110945.81439023349</v>
      </c>
    </row>
    <row r="8" spans="1:15">
      <c r="A8">
        <v>5</v>
      </c>
      <c r="B8">
        <f>'Cleaned Data'!M6</f>
        <v>741341.44</v>
      </c>
      <c r="C8">
        <f>'Multiple Regression'!K37</f>
        <v>766210.19345642033</v>
      </c>
      <c r="D8">
        <f>'Multiple Regression'!L37</f>
        <v>-24868.753456420382</v>
      </c>
      <c r="E8" t="str">
        <f>'Cleaned Data'!A6</f>
        <v>STR-1002</v>
      </c>
      <c r="F8" t="str">
        <f>'Cleaned Data'!C6</f>
        <v>East</v>
      </c>
      <c r="G8" t="str">
        <f>'Cleaned Data'!D6</f>
        <v>High Street</v>
      </c>
      <c r="I8" s="27">
        <f t="shared" si="5"/>
        <v>298</v>
      </c>
      <c r="J8" s="27" t="str">
        <f t="shared" si="0"/>
        <v>STR-1075</v>
      </c>
      <c r="K8" s="27" t="str">
        <f t="shared" si="1"/>
        <v>West</v>
      </c>
      <c r="L8" s="27" t="str">
        <f t="shared" si="2"/>
        <v>High Street</v>
      </c>
      <c r="M8" s="27">
        <f t="shared" si="3"/>
        <v>763162.45</v>
      </c>
      <c r="N8" s="27">
        <f t="shared" si="4"/>
        <v>660669.6209800262</v>
      </c>
      <c r="O8" s="27">
        <f>LARGE($D$4:$D$323,4)</f>
        <v>102492.82901997375</v>
      </c>
    </row>
    <row r="9" spans="1:15">
      <c r="A9">
        <v>6</v>
      </c>
      <c r="B9">
        <f>'Cleaned Data'!M7</f>
        <v>761835.34</v>
      </c>
      <c r="C9">
        <f>'Multiple Regression'!K38</f>
        <v>777521.76600368368</v>
      </c>
      <c r="D9">
        <f>'Multiple Regression'!L38</f>
        <v>-15686.426003683708</v>
      </c>
      <c r="E9" t="str">
        <f>'Cleaned Data'!A7</f>
        <v>STR-1002</v>
      </c>
      <c r="F9" t="str">
        <f>'Cleaned Data'!C7</f>
        <v>East</v>
      </c>
      <c r="G9" t="str">
        <f>'Cleaned Data'!D7</f>
        <v>High Street</v>
      </c>
      <c r="I9" s="27">
        <f t="shared" si="5"/>
        <v>8</v>
      </c>
      <c r="J9" s="27" t="str">
        <f t="shared" si="0"/>
        <v>STR-1002</v>
      </c>
      <c r="K9" s="27" t="str">
        <f t="shared" si="1"/>
        <v>East</v>
      </c>
      <c r="L9" s="27" t="str">
        <f t="shared" si="2"/>
        <v>High Street</v>
      </c>
      <c r="M9" s="27">
        <f t="shared" si="3"/>
        <v>850164.26</v>
      </c>
      <c r="N9" s="27">
        <f t="shared" si="4"/>
        <v>752354.32773397793</v>
      </c>
      <c r="O9" s="27">
        <f>LARGE($D$4:$D$323,5)</f>
        <v>97809.932266022079</v>
      </c>
    </row>
    <row r="10" spans="1:15">
      <c r="A10">
        <v>7</v>
      </c>
      <c r="B10">
        <f>'Cleaned Data'!M8</f>
        <v>806615.54</v>
      </c>
      <c r="C10">
        <f>'Multiple Regression'!K39</f>
        <v>797398.989050181</v>
      </c>
      <c r="D10">
        <f>'Multiple Regression'!L39</f>
        <v>9216.5509498190368</v>
      </c>
      <c r="E10" t="str">
        <f>'Cleaned Data'!A8</f>
        <v>STR-1002</v>
      </c>
      <c r="F10" t="str">
        <f>'Cleaned Data'!C8</f>
        <v>East</v>
      </c>
      <c r="G10" t="str">
        <f>'Cleaned Data'!D8</f>
        <v>High Street</v>
      </c>
    </row>
    <row r="11" spans="1:15">
      <c r="A11">
        <v>8</v>
      </c>
      <c r="B11">
        <f>'Cleaned Data'!M9</f>
        <v>850164.26</v>
      </c>
      <c r="C11">
        <f>'Multiple Regression'!K40</f>
        <v>752354.32773397793</v>
      </c>
      <c r="D11">
        <f>'Multiple Regression'!L40</f>
        <v>97809.932266022079</v>
      </c>
      <c r="E11" t="str">
        <f>'Cleaned Data'!A9</f>
        <v>STR-1002</v>
      </c>
      <c r="F11" t="str">
        <f>'Cleaned Data'!C9</f>
        <v>East</v>
      </c>
      <c r="G11" t="str">
        <f>'Cleaned Data'!D9</f>
        <v>High Street</v>
      </c>
    </row>
    <row r="12" spans="1:15">
      <c r="A12">
        <v>9</v>
      </c>
      <c r="B12">
        <f>'Cleaned Data'!M10</f>
        <v>930581.7</v>
      </c>
      <c r="C12">
        <f>'Multiple Regression'!K41</f>
        <v>859273.55918084283</v>
      </c>
      <c r="D12">
        <f>'Multiple Regression'!L41</f>
        <v>71308.140819157124</v>
      </c>
      <c r="E12" t="str">
        <f>'Cleaned Data'!A10</f>
        <v>STR-1003</v>
      </c>
      <c r="F12" t="str">
        <f>'Cleaned Data'!C10</f>
        <v>North</v>
      </c>
      <c r="G12" t="str">
        <f>'Cleaned Data'!D10</f>
        <v>Airport</v>
      </c>
      <c r="I12" s="28" t="s">
        <v>173</v>
      </c>
      <c r="J12" s="28"/>
      <c r="K12" s="28"/>
      <c r="L12" s="28"/>
    </row>
    <row r="13" spans="1:15">
      <c r="A13">
        <v>10</v>
      </c>
      <c r="B13">
        <f>'Cleaned Data'!M11</f>
        <v>779010.94</v>
      </c>
      <c r="C13">
        <f>'Multiple Regression'!K42</f>
        <v>786719.05711492954</v>
      </c>
      <c r="D13">
        <f>'Multiple Regression'!L42</f>
        <v>-7708.1171149295988</v>
      </c>
      <c r="E13" t="str">
        <f>'Cleaned Data'!A11</f>
        <v>STR-1003</v>
      </c>
      <c r="F13" t="str">
        <f>'Cleaned Data'!C11</f>
        <v>North</v>
      </c>
      <c r="G13" t="str">
        <f>'Cleaned Data'!D11</f>
        <v>Airport</v>
      </c>
      <c r="I13" s="26" t="s">
        <v>139</v>
      </c>
      <c r="J13" s="26" t="s">
        <v>169</v>
      </c>
      <c r="K13" s="26" t="s">
        <v>170</v>
      </c>
      <c r="L13" s="26" t="s">
        <v>171</v>
      </c>
      <c r="M13" s="26" t="s">
        <v>167</v>
      </c>
      <c r="N13" s="26" t="s">
        <v>168</v>
      </c>
      <c r="O13" s="26" t="s">
        <v>123</v>
      </c>
    </row>
    <row r="14" spans="1:15">
      <c r="A14">
        <v>11</v>
      </c>
      <c r="B14">
        <f>'Cleaned Data'!M12</f>
        <v>723060.76</v>
      </c>
      <c r="C14">
        <f>'Multiple Regression'!K43</f>
        <v>754397.67475601844</v>
      </c>
      <c r="D14">
        <f>'Multiple Regression'!L43</f>
        <v>-31336.914756018436</v>
      </c>
      <c r="E14" t="str">
        <f>'Cleaned Data'!A12</f>
        <v>STR-1003</v>
      </c>
      <c r="F14" t="str">
        <f>'Cleaned Data'!C12</f>
        <v>North</v>
      </c>
      <c r="G14" t="str">
        <f>'Cleaned Data'!D12</f>
        <v>Airport</v>
      </c>
      <c r="I14" s="27">
        <f>MATCH(O14,$D$4:$D$323,0)</f>
        <v>45</v>
      </c>
      <c r="J14" s="27" t="str">
        <f>INDEX($E$4:$E$323,MATCH(O14,$D$4:$D$323,0))</f>
        <v>STR-1012</v>
      </c>
      <c r="K14" s="27" t="str">
        <f>INDEX($F$4:$F$323,MATCH(O14,$D$4:$D$323,0))</f>
        <v>West</v>
      </c>
      <c r="L14" s="27" t="str">
        <f>INDEX($G$4:$G$323,MATCH(O14,$D$4:$D$323,0))</f>
        <v>Residential</v>
      </c>
      <c r="M14" s="27">
        <f>INDEX($B$4:$B$323,MATCH(O14,$D$4:$D$323,0))</f>
        <v>595467.6</v>
      </c>
      <c r="N14" s="27">
        <f>INDEX($C$4:$C$323,MATCH(O14,$D$4:$D$323,0))</f>
        <v>740179.86033669033</v>
      </c>
      <c r="O14" s="27">
        <f>SMALL($D$4:$D$323,1)</f>
        <v>-144712.26033669035</v>
      </c>
    </row>
    <row r="15" spans="1:15">
      <c r="A15">
        <v>12</v>
      </c>
      <c r="B15">
        <f>'Cleaned Data'!M13</f>
        <v>910791.94</v>
      </c>
      <c r="C15">
        <f>'Multiple Regression'!K44</f>
        <v>854601.91330212308</v>
      </c>
      <c r="D15">
        <f>'Multiple Regression'!L44</f>
        <v>56190.026697876863</v>
      </c>
      <c r="E15" t="str">
        <f>'Cleaned Data'!A13</f>
        <v>STR-1003</v>
      </c>
      <c r="F15" t="str">
        <f>'Cleaned Data'!C13</f>
        <v>North</v>
      </c>
      <c r="G15" t="str">
        <f>'Cleaned Data'!D13</f>
        <v>Airport</v>
      </c>
      <c r="I15" s="27">
        <f t="shared" ref="I15:I18" si="6">MATCH(O15,$D$4:$D$323,0)</f>
        <v>67</v>
      </c>
      <c r="J15" s="27" t="str">
        <f t="shared" ref="J15:J18" si="7">INDEX($E$4:$E$323,MATCH(O15,$D$4:$D$323,0))</f>
        <v>STR-1017</v>
      </c>
      <c r="K15" s="27" t="str">
        <f t="shared" ref="K15:K18" si="8">INDEX($F$4:$F$323,MATCH(O15,$D$4:$D$323,0))</f>
        <v>West</v>
      </c>
      <c r="L15" s="27" t="str">
        <f t="shared" ref="L15:L18" si="9">INDEX($G$4:$G$323,MATCH(O15,$D$4:$D$323,0))</f>
        <v>High Street</v>
      </c>
      <c r="M15" s="27">
        <f t="shared" ref="M15:M18" si="10">INDEX($B$4:$B$323,MATCH(O15,$D$4:$D$323,0))</f>
        <v>685379.08</v>
      </c>
      <c r="N15" s="27">
        <f t="shared" ref="N15:N18" si="11">INDEX($C$4:$C$323,MATCH(O15,$D$4:$D$323,0))</f>
        <v>823060.64702746726</v>
      </c>
      <c r="O15" s="27">
        <f>SMALL($D$4:$D$323,2)</f>
        <v>-137681.5670274673</v>
      </c>
    </row>
    <row r="16" spans="1:15">
      <c r="A16">
        <v>13</v>
      </c>
      <c r="B16">
        <f>'Cleaned Data'!M14</f>
        <v>922168.6</v>
      </c>
      <c r="C16">
        <f>'Multiple Regression'!K45</f>
        <v>908254.76367020677</v>
      </c>
      <c r="D16">
        <f>'Multiple Regression'!L45</f>
        <v>13913.836329793208</v>
      </c>
      <c r="E16" t="str">
        <f>'Cleaned Data'!A14</f>
        <v>STR-1004</v>
      </c>
      <c r="F16" t="str">
        <f>'Cleaned Data'!C14</f>
        <v>East</v>
      </c>
      <c r="G16" t="str">
        <f>'Cleaned Data'!D14</f>
        <v>Residential</v>
      </c>
      <c r="I16" s="27">
        <f t="shared" si="6"/>
        <v>33</v>
      </c>
      <c r="J16" s="27" t="str">
        <f t="shared" si="7"/>
        <v>STR-1009</v>
      </c>
      <c r="K16" s="27" t="str">
        <f t="shared" si="8"/>
        <v>North</v>
      </c>
      <c r="L16" s="27" t="str">
        <f t="shared" si="9"/>
        <v>Residential</v>
      </c>
      <c r="M16" s="27">
        <f t="shared" si="10"/>
        <v>641865.03</v>
      </c>
      <c r="N16" s="27">
        <f t="shared" si="11"/>
        <v>770451.97064099042</v>
      </c>
      <c r="O16" s="27">
        <f>SMALL($D$4:$D$323,3)</f>
        <v>-128586.94064099039</v>
      </c>
    </row>
    <row r="17" spans="1:15">
      <c r="A17">
        <v>14</v>
      </c>
      <c r="B17">
        <f>'Cleaned Data'!M15</f>
        <v>726606.28</v>
      </c>
      <c r="C17">
        <f>'Multiple Regression'!K46</f>
        <v>784098.50436540332</v>
      </c>
      <c r="D17">
        <f>'Multiple Regression'!L46</f>
        <v>-57492.224365403294</v>
      </c>
      <c r="E17" t="str">
        <f>'Cleaned Data'!A15</f>
        <v>STR-1004</v>
      </c>
      <c r="F17" t="str">
        <f>'Cleaned Data'!C15</f>
        <v>East</v>
      </c>
      <c r="G17" t="str">
        <f>'Cleaned Data'!D15</f>
        <v>Residential</v>
      </c>
      <c r="I17" s="27">
        <f t="shared" si="6"/>
        <v>137</v>
      </c>
      <c r="J17" s="27" t="str">
        <f t="shared" si="7"/>
        <v>STR-1035</v>
      </c>
      <c r="K17" s="27" t="str">
        <f t="shared" si="8"/>
        <v>South</v>
      </c>
      <c r="L17" s="27" t="str">
        <f t="shared" si="9"/>
        <v>Residential</v>
      </c>
      <c r="M17" s="27">
        <f t="shared" si="10"/>
        <v>633638.03</v>
      </c>
      <c r="N17" s="27">
        <f t="shared" si="11"/>
        <v>753603.83252598881</v>
      </c>
      <c r="O17" s="27">
        <f>SMALL($D$4:$D$323,4)</f>
        <v>-119965.80252598878</v>
      </c>
    </row>
    <row r="18" spans="1:15">
      <c r="A18">
        <v>15</v>
      </c>
      <c r="B18">
        <f>'Cleaned Data'!M16</f>
        <v>746501.09</v>
      </c>
      <c r="C18">
        <f>'Multiple Regression'!K47</f>
        <v>752597.74200079544</v>
      </c>
      <c r="D18">
        <f>'Multiple Regression'!L47</f>
        <v>-6096.6520007954678</v>
      </c>
      <c r="E18" t="str">
        <f>'Cleaned Data'!A16</f>
        <v>STR-1004</v>
      </c>
      <c r="F18" t="str">
        <f>'Cleaned Data'!C16</f>
        <v>East</v>
      </c>
      <c r="G18" t="str">
        <f>'Cleaned Data'!D16</f>
        <v>Residential</v>
      </c>
      <c r="I18" s="27">
        <f t="shared" si="6"/>
        <v>306</v>
      </c>
      <c r="J18" s="27" t="str">
        <f t="shared" si="7"/>
        <v>STR-1077</v>
      </c>
      <c r="K18" s="27" t="str">
        <f t="shared" si="8"/>
        <v>South</v>
      </c>
      <c r="L18" s="27" t="str">
        <f t="shared" si="9"/>
        <v>Residential</v>
      </c>
      <c r="M18" s="27">
        <f t="shared" si="10"/>
        <v>538376</v>
      </c>
      <c r="N18" s="27">
        <f t="shared" si="11"/>
        <v>654685.63516405888</v>
      </c>
      <c r="O18" s="27">
        <f>SMALL($D$4:$D$323,5)</f>
        <v>-116309.63516405888</v>
      </c>
    </row>
    <row r="19" spans="1:15">
      <c r="A19">
        <v>16</v>
      </c>
      <c r="B19">
        <f>'Cleaned Data'!M17</f>
        <v>834017.02</v>
      </c>
      <c r="C19">
        <f>'Multiple Regression'!K48</f>
        <v>836946.92205766635</v>
      </c>
      <c r="D19">
        <f>'Multiple Regression'!L48</f>
        <v>-2929.9020576663315</v>
      </c>
      <c r="E19" t="str">
        <f>'Cleaned Data'!A17</f>
        <v>STR-1004</v>
      </c>
      <c r="F19" t="str">
        <f>'Cleaned Data'!C17</f>
        <v>East</v>
      </c>
      <c r="G19" t="str">
        <f>'Cleaned Data'!D17</f>
        <v>Residential</v>
      </c>
    </row>
    <row r="20" spans="1:15">
      <c r="A20">
        <v>17</v>
      </c>
      <c r="B20">
        <f>'Cleaned Data'!M18</f>
        <v>666152.52</v>
      </c>
      <c r="C20">
        <f>'Multiple Regression'!K49</f>
        <v>692109.00859278394</v>
      </c>
      <c r="D20">
        <f>'Multiple Regression'!L49</f>
        <v>-25956.48859278392</v>
      </c>
      <c r="E20" t="str">
        <f>'Cleaned Data'!A18</f>
        <v>STR-1005</v>
      </c>
      <c r="F20" t="str">
        <f>'Cleaned Data'!C18</f>
        <v>South</v>
      </c>
      <c r="G20" t="str">
        <f>'Cleaned Data'!D18</f>
        <v>Residential</v>
      </c>
    </row>
    <row r="21" spans="1:15">
      <c r="A21">
        <v>18</v>
      </c>
      <c r="B21">
        <f>'Cleaned Data'!M19</f>
        <v>573155.18999999994</v>
      </c>
      <c r="C21">
        <f>'Multiple Regression'!K50</f>
        <v>608113.93084745621</v>
      </c>
      <c r="D21">
        <f>'Multiple Regression'!L50</f>
        <v>-34958.740847456269</v>
      </c>
      <c r="E21" t="str">
        <f>'Cleaned Data'!A19</f>
        <v>STR-1005</v>
      </c>
      <c r="F21" t="str">
        <f>'Cleaned Data'!C19</f>
        <v>South</v>
      </c>
      <c r="G21" t="str">
        <f>'Cleaned Data'!D19</f>
        <v>Residential</v>
      </c>
    </row>
    <row r="22" spans="1:15">
      <c r="A22">
        <v>19</v>
      </c>
      <c r="B22">
        <f>'Cleaned Data'!M20</f>
        <v>666573.19999999995</v>
      </c>
      <c r="C22">
        <f>'Multiple Regression'!K51</f>
        <v>681740.45630913705</v>
      </c>
      <c r="D22">
        <f>'Multiple Regression'!L51</f>
        <v>-15167.256309137098</v>
      </c>
      <c r="E22" t="str">
        <f>'Cleaned Data'!A20</f>
        <v>STR-1005</v>
      </c>
      <c r="F22" t="str">
        <f>'Cleaned Data'!C20</f>
        <v>South</v>
      </c>
      <c r="G22" t="str">
        <f>'Cleaned Data'!D20</f>
        <v>Residential</v>
      </c>
    </row>
    <row r="23" spans="1:15">
      <c r="A23">
        <v>20</v>
      </c>
      <c r="B23">
        <f>'Cleaned Data'!M21</f>
        <v>591619.94999999995</v>
      </c>
      <c r="C23">
        <f>'Multiple Regression'!K52</f>
        <v>621825.83936658083</v>
      </c>
      <c r="D23">
        <f>'Multiple Regression'!L52</f>
        <v>-30205.889366580872</v>
      </c>
      <c r="E23" t="str">
        <f>'Cleaned Data'!A21</f>
        <v>STR-1005</v>
      </c>
      <c r="F23" t="str">
        <f>'Cleaned Data'!C21</f>
        <v>South</v>
      </c>
      <c r="G23" t="str">
        <f>'Cleaned Data'!D21</f>
        <v>Residential</v>
      </c>
    </row>
    <row r="24" spans="1:15">
      <c r="A24">
        <v>21</v>
      </c>
      <c r="B24">
        <f>'Cleaned Data'!M22</f>
        <v>415721.82</v>
      </c>
      <c r="C24">
        <f>'Multiple Regression'!K53</f>
        <v>521596.503159363</v>
      </c>
      <c r="D24">
        <f>'Multiple Regression'!L53</f>
        <v>-105874.68315936299</v>
      </c>
      <c r="E24" t="str">
        <f>'Cleaned Data'!A22</f>
        <v>STR-1006</v>
      </c>
      <c r="F24" t="str">
        <f>'Cleaned Data'!C22</f>
        <v>North</v>
      </c>
      <c r="G24" t="str">
        <f>'Cleaned Data'!D22</f>
        <v>Residential</v>
      </c>
    </row>
    <row r="25" spans="1:15">
      <c r="A25">
        <v>22</v>
      </c>
      <c r="B25">
        <f>'Cleaned Data'!M23</f>
        <v>491905.13</v>
      </c>
      <c r="C25">
        <f>'Multiple Regression'!K54</f>
        <v>502343.55591920565</v>
      </c>
      <c r="D25">
        <f>'Multiple Regression'!L54</f>
        <v>-10438.425919205649</v>
      </c>
      <c r="E25" t="str">
        <f>'Cleaned Data'!A23</f>
        <v>STR-1006</v>
      </c>
      <c r="F25" t="str">
        <f>'Cleaned Data'!C23</f>
        <v>North</v>
      </c>
      <c r="G25" t="str">
        <f>'Cleaned Data'!D23</f>
        <v>Residential</v>
      </c>
    </row>
    <row r="26" spans="1:15">
      <c r="A26">
        <v>23</v>
      </c>
      <c r="B26">
        <f>'Cleaned Data'!M24</f>
        <v>555929.4</v>
      </c>
      <c r="C26">
        <f>'Multiple Regression'!K55</f>
        <v>572515.54377050791</v>
      </c>
      <c r="D26">
        <f>'Multiple Regression'!L55</f>
        <v>-16586.143770507886</v>
      </c>
      <c r="E26" t="str">
        <f>'Cleaned Data'!A24</f>
        <v>STR-1006</v>
      </c>
      <c r="F26" t="str">
        <f>'Cleaned Data'!C24</f>
        <v>North</v>
      </c>
      <c r="G26" t="str">
        <f>'Cleaned Data'!D24</f>
        <v>Residential</v>
      </c>
    </row>
    <row r="27" spans="1:15">
      <c r="A27">
        <v>24</v>
      </c>
      <c r="B27">
        <f>'Cleaned Data'!M25</f>
        <v>565810.99</v>
      </c>
      <c r="C27">
        <f>'Multiple Regression'!K56</f>
        <v>558445.90451569087</v>
      </c>
      <c r="D27">
        <f>'Multiple Regression'!L56</f>
        <v>7365.085484309122</v>
      </c>
      <c r="E27" t="str">
        <f>'Cleaned Data'!A25</f>
        <v>STR-1006</v>
      </c>
      <c r="F27" t="str">
        <f>'Cleaned Data'!C25</f>
        <v>North</v>
      </c>
      <c r="G27" t="str">
        <f>'Cleaned Data'!D25</f>
        <v>Residential</v>
      </c>
    </row>
    <row r="28" spans="1:15">
      <c r="A28">
        <v>25</v>
      </c>
      <c r="B28">
        <f>'Cleaned Data'!M26</f>
        <v>811771.14</v>
      </c>
      <c r="C28">
        <f>'Multiple Regression'!K57</f>
        <v>815025.68111817271</v>
      </c>
      <c r="D28">
        <f>'Multiple Regression'!L57</f>
        <v>-3254.5411181726959</v>
      </c>
      <c r="E28" t="str">
        <f>'Cleaned Data'!A26</f>
        <v>STR-1007</v>
      </c>
      <c r="F28" t="str">
        <f>'Cleaned Data'!C26</f>
        <v>West</v>
      </c>
      <c r="G28" t="str">
        <f>'Cleaned Data'!D26</f>
        <v>Mall</v>
      </c>
    </row>
    <row r="29" spans="1:15">
      <c r="A29">
        <v>26</v>
      </c>
      <c r="B29">
        <f>'Cleaned Data'!M27</f>
        <v>800451.94</v>
      </c>
      <c r="C29">
        <f>'Multiple Regression'!K58</f>
        <v>900690.6824207583</v>
      </c>
      <c r="D29">
        <f>'Multiple Regression'!L58</f>
        <v>-100238.74242075835</v>
      </c>
      <c r="E29" t="str">
        <f>'Cleaned Data'!A27</f>
        <v>STR-1007</v>
      </c>
      <c r="F29" t="str">
        <f>'Cleaned Data'!C27</f>
        <v>West</v>
      </c>
      <c r="G29" t="str">
        <f>'Cleaned Data'!D27</f>
        <v>Mall</v>
      </c>
    </row>
    <row r="30" spans="1:15">
      <c r="A30">
        <v>27</v>
      </c>
      <c r="B30">
        <f>'Cleaned Data'!M28</f>
        <v>783672.82</v>
      </c>
      <c r="C30">
        <f>'Multiple Regression'!K59</f>
        <v>781190.82612585893</v>
      </c>
      <c r="D30">
        <f>'Multiple Regression'!L59</f>
        <v>2481.9938741410151</v>
      </c>
      <c r="E30" t="str">
        <f>'Cleaned Data'!A28</f>
        <v>STR-1007</v>
      </c>
      <c r="F30" t="str">
        <f>'Cleaned Data'!C28</f>
        <v>West</v>
      </c>
      <c r="G30" t="str">
        <f>'Cleaned Data'!D28</f>
        <v>Mall</v>
      </c>
    </row>
    <row r="31" spans="1:15">
      <c r="A31">
        <v>28</v>
      </c>
      <c r="B31">
        <f>'Cleaned Data'!M29</f>
        <v>701641.97</v>
      </c>
      <c r="C31">
        <f>'Multiple Regression'!K60</f>
        <v>700823.29437404999</v>
      </c>
      <c r="D31">
        <f>'Multiple Regression'!L60</f>
        <v>818.67562594998162</v>
      </c>
      <c r="E31" t="str">
        <f>'Cleaned Data'!A29</f>
        <v>STR-1007</v>
      </c>
      <c r="F31" t="str">
        <f>'Cleaned Data'!C29</f>
        <v>West</v>
      </c>
      <c r="G31" t="str">
        <f>'Cleaned Data'!D29</f>
        <v>Mall</v>
      </c>
    </row>
    <row r="32" spans="1:15">
      <c r="A32">
        <v>29</v>
      </c>
      <c r="B32">
        <f>'Cleaned Data'!M30</f>
        <v>511844.41</v>
      </c>
      <c r="C32">
        <f>'Multiple Regression'!K61</f>
        <v>590990.25251644442</v>
      </c>
      <c r="D32">
        <f>'Multiple Regression'!L61</f>
        <v>-79145.842516444449</v>
      </c>
      <c r="E32" t="str">
        <f>'Cleaned Data'!A30</f>
        <v>STR-1008</v>
      </c>
      <c r="F32" t="str">
        <f>'Cleaned Data'!C30</f>
        <v>East</v>
      </c>
      <c r="G32" t="str">
        <f>'Cleaned Data'!D30</f>
        <v>Residential</v>
      </c>
    </row>
    <row r="33" spans="1:7">
      <c r="A33">
        <v>30</v>
      </c>
      <c r="B33">
        <f>'Cleaned Data'!M31</f>
        <v>537383.79</v>
      </c>
      <c r="C33">
        <f>'Multiple Regression'!K62</f>
        <v>533384.68476372701</v>
      </c>
      <c r="D33">
        <f>'Multiple Regression'!L62</f>
        <v>3999.1052362730261</v>
      </c>
      <c r="E33" t="str">
        <f>'Cleaned Data'!A31</f>
        <v>STR-1008</v>
      </c>
      <c r="F33" t="str">
        <f>'Cleaned Data'!C31</f>
        <v>East</v>
      </c>
      <c r="G33" t="str">
        <f>'Cleaned Data'!D31</f>
        <v>Residential</v>
      </c>
    </row>
    <row r="34" spans="1:7">
      <c r="A34">
        <v>31</v>
      </c>
      <c r="B34">
        <f>'Cleaned Data'!M32</f>
        <v>500173.02</v>
      </c>
      <c r="C34">
        <f>'Multiple Regression'!K63</f>
        <v>531937.48093054129</v>
      </c>
      <c r="D34">
        <f>'Multiple Regression'!L63</f>
        <v>-31764.460930541274</v>
      </c>
      <c r="E34" t="str">
        <f>'Cleaned Data'!A32</f>
        <v>STR-1008</v>
      </c>
      <c r="F34" t="str">
        <f>'Cleaned Data'!C32</f>
        <v>East</v>
      </c>
      <c r="G34" t="str">
        <f>'Cleaned Data'!D32</f>
        <v>Residential</v>
      </c>
    </row>
    <row r="35" spans="1:7">
      <c r="A35">
        <v>32</v>
      </c>
      <c r="B35">
        <f>'Cleaned Data'!M33</f>
        <v>427917.38</v>
      </c>
      <c r="C35">
        <f>'Multiple Regression'!K64</f>
        <v>490118.41207472235</v>
      </c>
      <c r="D35">
        <f>'Multiple Regression'!L64</f>
        <v>-62201.032074722345</v>
      </c>
      <c r="E35" t="str">
        <f>'Cleaned Data'!A33</f>
        <v>STR-1008</v>
      </c>
      <c r="F35" t="str">
        <f>'Cleaned Data'!C33</f>
        <v>East</v>
      </c>
      <c r="G35" t="str">
        <f>'Cleaned Data'!D33</f>
        <v>Residential</v>
      </c>
    </row>
    <row r="36" spans="1:7">
      <c r="A36">
        <v>33</v>
      </c>
      <c r="B36">
        <f>'Cleaned Data'!M34</f>
        <v>641865.03</v>
      </c>
      <c r="C36">
        <f>'Multiple Regression'!K65</f>
        <v>770451.97064099042</v>
      </c>
      <c r="D36">
        <f>'Multiple Regression'!L65</f>
        <v>-128586.94064099039</v>
      </c>
      <c r="E36" t="str">
        <f>'Cleaned Data'!A34</f>
        <v>STR-1009</v>
      </c>
      <c r="F36" t="str">
        <f>'Cleaned Data'!C34</f>
        <v>North</v>
      </c>
      <c r="G36" t="str">
        <f>'Cleaned Data'!D34</f>
        <v>Residential</v>
      </c>
    </row>
    <row r="37" spans="1:7">
      <c r="A37">
        <v>34</v>
      </c>
      <c r="B37">
        <f>'Cleaned Data'!M35</f>
        <v>799477.76000000001</v>
      </c>
      <c r="C37">
        <f>'Multiple Regression'!K66</f>
        <v>867881.00513157528</v>
      </c>
      <c r="D37">
        <f>'Multiple Regression'!L66</f>
        <v>-68403.24513157527</v>
      </c>
      <c r="E37" t="str">
        <f>'Cleaned Data'!A35</f>
        <v>STR-1009</v>
      </c>
      <c r="F37" t="str">
        <f>'Cleaned Data'!C35</f>
        <v>North</v>
      </c>
      <c r="G37" t="str">
        <f>'Cleaned Data'!D35</f>
        <v>Residential</v>
      </c>
    </row>
    <row r="38" spans="1:7">
      <c r="A38">
        <v>35</v>
      </c>
      <c r="B38">
        <f>'Cleaned Data'!M36</f>
        <v>798952.17</v>
      </c>
      <c r="C38">
        <f>'Multiple Regression'!K67</f>
        <v>798185.81117057672</v>
      </c>
      <c r="D38">
        <f>'Multiple Regression'!L67</f>
        <v>766.35882942331955</v>
      </c>
      <c r="E38" t="str">
        <f>'Cleaned Data'!A36</f>
        <v>STR-1009</v>
      </c>
      <c r="F38" t="str">
        <f>'Cleaned Data'!C36</f>
        <v>North</v>
      </c>
      <c r="G38" t="str">
        <f>'Cleaned Data'!D36</f>
        <v>Residential</v>
      </c>
    </row>
    <row r="39" spans="1:7">
      <c r="A39">
        <v>36</v>
      </c>
      <c r="B39">
        <f>'Cleaned Data'!M37</f>
        <v>800979.78</v>
      </c>
      <c r="C39">
        <f>'Multiple Regression'!K68</f>
        <v>807290.12429647532</v>
      </c>
      <c r="D39">
        <f>'Multiple Regression'!L68</f>
        <v>-6310.3442964752903</v>
      </c>
      <c r="E39" t="str">
        <f>'Cleaned Data'!A37</f>
        <v>STR-1009</v>
      </c>
      <c r="F39" t="str">
        <f>'Cleaned Data'!C37</f>
        <v>North</v>
      </c>
      <c r="G39" t="str">
        <f>'Cleaned Data'!D37</f>
        <v>Residential</v>
      </c>
    </row>
    <row r="40" spans="1:7">
      <c r="A40">
        <v>37</v>
      </c>
      <c r="B40">
        <f>'Cleaned Data'!M38</f>
        <v>820593.93</v>
      </c>
      <c r="C40">
        <f>'Multiple Regression'!K69</f>
        <v>788895.87652918813</v>
      </c>
      <c r="D40">
        <f>'Multiple Regression'!L69</f>
        <v>31698.053470811923</v>
      </c>
      <c r="E40" t="str">
        <f>'Cleaned Data'!A38</f>
        <v>STR-1010</v>
      </c>
      <c r="F40" t="str">
        <f>'Cleaned Data'!C38</f>
        <v>North</v>
      </c>
      <c r="G40" t="str">
        <f>'Cleaned Data'!D38</f>
        <v>Mall</v>
      </c>
    </row>
    <row r="41" spans="1:7">
      <c r="A41">
        <v>38</v>
      </c>
      <c r="B41">
        <f>'Cleaned Data'!M39</f>
        <v>718330.53</v>
      </c>
      <c r="C41">
        <f>'Multiple Regression'!K70</f>
        <v>736092.13274164568</v>
      </c>
      <c r="D41">
        <f>'Multiple Regression'!L70</f>
        <v>-17761.602741645649</v>
      </c>
      <c r="E41" t="str">
        <f>'Cleaned Data'!A39</f>
        <v>STR-1010</v>
      </c>
      <c r="F41" t="str">
        <f>'Cleaned Data'!C39</f>
        <v>North</v>
      </c>
      <c r="G41" t="str">
        <f>'Cleaned Data'!D39</f>
        <v>Mall</v>
      </c>
    </row>
    <row r="42" spans="1:7">
      <c r="A42">
        <v>39</v>
      </c>
      <c r="B42">
        <f>'Cleaned Data'!M40</f>
        <v>736633.4</v>
      </c>
      <c r="C42">
        <f>'Multiple Regression'!K71</f>
        <v>755222.62591866427</v>
      </c>
      <c r="D42">
        <f>'Multiple Regression'!L71</f>
        <v>-18589.225918664248</v>
      </c>
      <c r="E42" t="str">
        <f>'Cleaned Data'!A40</f>
        <v>STR-1010</v>
      </c>
      <c r="F42" t="str">
        <f>'Cleaned Data'!C40</f>
        <v>North</v>
      </c>
      <c r="G42" t="str">
        <f>'Cleaned Data'!D40</f>
        <v>Mall</v>
      </c>
    </row>
    <row r="43" spans="1:7">
      <c r="A43">
        <v>40</v>
      </c>
      <c r="B43">
        <f>'Cleaned Data'!M41</f>
        <v>828623.85</v>
      </c>
      <c r="C43">
        <f>'Multiple Regression'!K72</f>
        <v>794172.7946672088</v>
      </c>
      <c r="D43">
        <f>'Multiple Regression'!L72</f>
        <v>34451.055332791177</v>
      </c>
      <c r="E43" t="str">
        <f>'Cleaned Data'!A41</f>
        <v>STR-1010</v>
      </c>
      <c r="F43" t="str">
        <f>'Cleaned Data'!C41</f>
        <v>North</v>
      </c>
      <c r="G43" t="str">
        <f>'Cleaned Data'!D41</f>
        <v>Mall</v>
      </c>
    </row>
    <row r="44" spans="1:7">
      <c r="A44">
        <v>41</v>
      </c>
      <c r="B44">
        <f>'Cleaned Data'!M42</f>
        <v>592195.85</v>
      </c>
      <c r="C44">
        <f>'Multiple Regression'!K73</f>
        <v>549391.56295445678</v>
      </c>
      <c r="D44">
        <f>'Multiple Regression'!L73</f>
        <v>42804.287045543198</v>
      </c>
      <c r="E44" t="str">
        <f>'Cleaned Data'!A42</f>
        <v>STR-1011</v>
      </c>
      <c r="F44" t="str">
        <f>'Cleaned Data'!C42</f>
        <v>East</v>
      </c>
      <c r="G44" t="str">
        <f>'Cleaned Data'!D42</f>
        <v>Mall</v>
      </c>
    </row>
    <row r="45" spans="1:7">
      <c r="A45">
        <v>42</v>
      </c>
      <c r="B45">
        <f>'Cleaned Data'!M43</f>
        <v>532644.46</v>
      </c>
      <c r="C45">
        <f>'Multiple Regression'!K74</f>
        <v>540830.98223970237</v>
      </c>
      <c r="D45">
        <f>'Multiple Regression'!L74</f>
        <v>-8186.5222397024045</v>
      </c>
      <c r="E45" t="str">
        <f>'Cleaned Data'!A43</f>
        <v>STR-1011</v>
      </c>
      <c r="F45" t="str">
        <f>'Cleaned Data'!C43</f>
        <v>East</v>
      </c>
      <c r="G45" t="str">
        <f>'Cleaned Data'!D43</f>
        <v>Mall</v>
      </c>
    </row>
    <row r="46" spans="1:7">
      <c r="A46">
        <v>43</v>
      </c>
      <c r="B46">
        <f>'Cleaned Data'!M44</f>
        <v>657429.18000000005</v>
      </c>
      <c r="C46">
        <f>'Multiple Regression'!K75</f>
        <v>591183.79838433326</v>
      </c>
      <c r="D46">
        <f>'Multiple Regression'!L75</f>
        <v>66245.381615666789</v>
      </c>
      <c r="E46" t="str">
        <f>'Cleaned Data'!A44</f>
        <v>STR-1011</v>
      </c>
      <c r="F46" t="str">
        <f>'Cleaned Data'!C44</f>
        <v>East</v>
      </c>
      <c r="G46" t="str">
        <f>'Cleaned Data'!D44</f>
        <v>Mall</v>
      </c>
    </row>
    <row r="47" spans="1:7">
      <c r="A47">
        <v>44</v>
      </c>
      <c r="B47">
        <f>'Cleaned Data'!M45</f>
        <v>605178</v>
      </c>
      <c r="C47">
        <f>'Multiple Regression'!K76</f>
        <v>581245.19234810187</v>
      </c>
      <c r="D47">
        <f>'Multiple Regression'!L76</f>
        <v>23932.807651898125</v>
      </c>
      <c r="E47" t="str">
        <f>'Cleaned Data'!A45</f>
        <v>STR-1011</v>
      </c>
      <c r="F47" t="str">
        <f>'Cleaned Data'!C45</f>
        <v>East</v>
      </c>
      <c r="G47" t="str">
        <f>'Cleaned Data'!D45</f>
        <v>Mall</v>
      </c>
    </row>
    <row r="48" spans="1:7">
      <c r="A48">
        <v>45</v>
      </c>
      <c r="B48">
        <f>'Cleaned Data'!M46</f>
        <v>595467.6</v>
      </c>
      <c r="C48">
        <f>'Multiple Regression'!K77</f>
        <v>740179.86033669033</v>
      </c>
      <c r="D48">
        <f>'Multiple Regression'!L77</f>
        <v>-144712.26033669035</v>
      </c>
      <c r="E48" t="str">
        <f>'Cleaned Data'!A46</f>
        <v>STR-1012</v>
      </c>
      <c r="F48" t="str">
        <f>'Cleaned Data'!C46</f>
        <v>West</v>
      </c>
      <c r="G48" t="str">
        <f>'Cleaned Data'!D46</f>
        <v>Residential</v>
      </c>
    </row>
    <row r="49" spans="1:7">
      <c r="A49">
        <v>46</v>
      </c>
      <c r="B49">
        <f>'Cleaned Data'!M47</f>
        <v>599603.4</v>
      </c>
      <c r="C49">
        <f>'Multiple Regression'!K78</f>
        <v>627659.72358812857</v>
      </c>
      <c r="D49">
        <f>'Multiple Regression'!L78</f>
        <v>-28056.323588128551</v>
      </c>
      <c r="E49" t="str">
        <f>'Cleaned Data'!A47</f>
        <v>STR-1012</v>
      </c>
      <c r="F49" t="str">
        <f>'Cleaned Data'!C47</f>
        <v>West</v>
      </c>
      <c r="G49" t="str">
        <f>'Cleaned Data'!D47</f>
        <v>Residential</v>
      </c>
    </row>
    <row r="50" spans="1:7">
      <c r="A50">
        <v>47</v>
      </c>
      <c r="B50">
        <f>'Cleaned Data'!M48</f>
        <v>614800.09</v>
      </c>
      <c r="C50">
        <f>'Multiple Regression'!K79</f>
        <v>598322.2790129385</v>
      </c>
      <c r="D50">
        <f>'Multiple Regression'!L79</f>
        <v>16477.810987061472</v>
      </c>
      <c r="E50" t="str">
        <f>'Cleaned Data'!A48</f>
        <v>STR-1012</v>
      </c>
      <c r="F50" t="str">
        <f>'Cleaned Data'!C48</f>
        <v>West</v>
      </c>
      <c r="G50" t="str">
        <f>'Cleaned Data'!D48</f>
        <v>Residential</v>
      </c>
    </row>
    <row r="51" spans="1:7">
      <c r="A51">
        <v>48</v>
      </c>
      <c r="B51">
        <f>'Cleaned Data'!M49</f>
        <v>585365.73</v>
      </c>
      <c r="C51">
        <f>'Multiple Regression'!K80</f>
        <v>594176.35219967924</v>
      </c>
      <c r="D51">
        <f>'Multiple Regression'!L80</f>
        <v>-8810.6221996792592</v>
      </c>
      <c r="E51" t="str">
        <f>'Cleaned Data'!A49</f>
        <v>STR-1012</v>
      </c>
      <c r="F51" t="str">
        <f>'Cleaned Data'!C49</f>
        <v>West</v>
      </c>
      <c r="G51" t="str">
        <f>'Cleaned Data'!D49</f>
        <v>Residential</v>
      </c>
    </row>
    <row r="52" spans="1:7">
      <c r="A52">
        <v>49</v>
      </c>
      <c r="B52">
        <f>'Cleaned Data'!M50</f>
        <v>622811.74</v>
      </c>
      <c r="C52">
        <f>'Multiple Regression'!K81</f>
        <v>623828.7825676155</v>
      </c>
      <c r="D52">
        <f>'Multiple Regression'!L81</f>
        <v>-1017.0425676155137</v>
      </c>
      <c r="E52" t="str">
        <f>'Cleaned Data'!A50</f>
        <v>STR-1013</v>
      </c>
      <c r="F52" t="str">
        <f>'Cleaned Data'!C50</f>
        <v>North</v>
      </c>
      <c r="G52" t="str">
        <f>'Cleaned Data'!D50</f>
        <v>Mall</v>
      </c>
    </row>
    <row r="53" spans="1:7">
      <c r="A53">
        <v>50</v>
      </c>
      <c r="B53">
        <f>'Cleaned Data'!M51</f>
        <v>603297.56999999995</v>
      </c>
      <c r="C53">
        <f>'Multiple Regression'!K82</f>
        <v>635339.73860653699</v>
      </c>
      <c r="D53">
        <f>'Multiple Regression'!L82</f>
        <v>-32042.168606537045</v>
      </c>
      <c r="E53" t="str">
        <f>'Cleaned Data'!A51</f>
        <v>STR-1013</v>
      </c>
      <c r="F53" t="str">
        <f>'Cleaned Data'!C51</f>
        <v>North</v>
      </c>
      <c r="G53" t="str">
        <f>'Cleaned Data'!D51</f>
        <v>Mall</v>
      </c>
    </row>
    <row r="54" spans="1:7">
      <c r="A54">
        <v>51</v>
      </c>
      <c r="B54">
        <f>'Cleaned Data'!M52</f>
        <v>625672.86</v>
      </c>
      <c r="C54">
        <f>'Multiple Regression'!K83</f>
        <v>617119.63088214141</v>
      </c>
      <c r="D54">
        <f>'Multiple Regression'!L83</f>
        <v>8553.2291178585729</v>
      </c>
      <c r="E54" t="str">
        <f>'Cleaned Data'!A52</f>
        <v>STR-1013</v>
      </c>
      <c r="F54" t="str">
        <f>'Cleaned Data'!C52</f>
        <v>North</v>
      </c>
      <c r="G54" t="str">
        <f>'Cleaned Data'!D52</f>
        <v>Mall</v>
      </c>
    </row>
    <row r="55" spans="1:7">
      <c r="A55">
        <v>52</v>
      </c>
      <c r="B55">
        <f>'Cleaned Data'!M53</f>
        <v>773815.14</v>
      </c>
      <c r="C55">
        <f>'Multiple Regression'!K84</f>
        <v>712383.82808896923</v>
      </c>
      <c r="D55">
        <f>'Multiple Regression'!L84</f>
        <v>61431.311911030789</v>
      </c>
      <c r="E55" t="str">
        <f>'Cleaned Data'!A53</f>
        <v>STR-1013</v>
      </c>
      <c r="F55" t="str">
        <f>'Cleaned Data'!C53</f>
        <v>North</v>
      </c>
      <c r="G55" t="str">
        <f>'Cleaned Data'!D53</f>
        <v>Mall</v>
      </c>
    </row>
    <row r="56" spans="1:7">
      <c r="A56">
        <v>53</v>
      </c>
      <c r="B56">
        <f>'Cleaned Data'!M54</f>
        <v>463534.25</v>
      </c>
      <c r="C56">
        <f>'Multiple Regression'!K85</f>
        <v>569440.87169743062</v>
      </c>
      <c r="D56">
        <f>'Multiple Regression'!L85</f>
        <v>-105906.62169743062</v>
      </c>
      <c r="E56" t="str">
        <f>'Cleaned Data'!A54</f>
        <v>STR-1014</v>
      </c>
      <c r="F56" t="str">
        <f>'Cleaned Data'!C54</f>
        <v>West</v>
      </c>
      <c r="G56" t="str">
        <f>'Cleaned Data'!D54</f>
        <v>High Street</v>
      </c>
    </row>
    <row r="57" spans="1:7">
      <c r="A57">
        <v>54</v>
      </c>
      <c r="B57">
        <f>'Cleaned Data'!M55</f>
        <v>746677.75</v>
      </c>
      <c r="C57">
        <f>'Multiple Regression'!K86</f>
        <v>710673.41753123619</v>
      </c>
      <c r="D57">
        <f>'Multiple Regression'!L86</f>
        <v>36004.332468763809</v>
      </c>
      <c r="E57" t="str">
        <f>'Cleaned Data'!A55</f>
        <v>STR-1014</v>
      </c>
      <c r="F57" t="str">
        <f>'Cleaned Data'!C55</f>
        <v>West</v>
      </c>
      <c r="G57" t="str">
        <f>'Cleaned Data'!D55</f>
        <v>High Street</v>
      </c>
    </row>
    <row r="58" spans="1:7">
      <c r="A58">
        <v>55</v>
      </c>
      <c r="B58">
        <f>'Cleaned Data'!M56</f>
        <v>720852.5</v>
      </c>
      <c r="C58">
        <f>'Multiple Regression'!K87</f>
        <v>678568.64689482702</v>
      </c>
      <c r="D58">
        <f>'Multiple Regression'!L87</f>
        <v>42283.853105172981</v>
      </c>
      <c r="E58" t="str">
        <f>'Cleaned Data'!A56</f>
        <v>STR-1014</v>
      </c>
      <c r="F58" t="str">
        <f>'Cleaned Data'!C56</f>
        <v>West</v>
      </c>
      <c r="G58" t="str">
        <f>'Cleaned Data'!D56</f>
        <v>High Street</v>
      </c>
    </row>
    <row r="59" spans="1:7">
      <c r="A59">
        <v>56</v>
      </c>
      <c r="B59">
        <f>'Cleaned Data'!M57</f>
        <v>487464.91</v>
      </c>
      <c r="C59">
        <f>'Multiple Regression'!K88</f>
        <v>537835.31772965949</v>
      </c>
      <c r="D59">
        <f>'Multiple Regression'!L88</f>
        <v>-50370.407729659521</v>
      </c>
      <c r="E59" t="str">
        <f>'Cleaned Data'!A57</f>
        <v>STR-1014</v>
      </c>
      <c r="F59" t="str">
        <f>'Cleaned Data'!C57</f>
        <v>West</v>
      </c>
      <c r="G59" t="str">
        <f>'Cleaned Data'!D57</f>
        <v>High Street</v>
      </c>
    </row>
    <row r="60" spans="1:7">
      <c r="A60">
        <v>57</v>
      </c>
      <c r="B60">
        <f>'Cleaned Data'!M58</f>
        <v>518049.26</v>
      </c>
      <c r="C60">
        <f>'Multiple Regression'!K89</f>
        <v>490154.90115868207</v>
      </c>
      <c r="D60">
        <f>'Multiple Regression'!L89</f>
        <v>27894.358841317939</v>
      </c>
      <c r="E60" t="str">
        <f>'Cleaned Data'!A58</f>
        <v>STR-1015</v>
      </c>
      <c r="F60" t="str">
        <f>'Cleaned Data'!C58</f>
        <v>East</v>
      </c>
      <c r="G60" t="str">
        <f>'Cleaned Data'!D58</f>
        <v>Airport</v>
      </c>
    </row>
    <row r="61" spans="1:7">
      <c r="A61">
        <v>58</v>
      </c>
      <c r="B61">
        <f>'Cleaned Data'!M59</f>
        <v>500298.48</v>
      </c>
      <c r="C61">
        <f>'Multiple Regression'!K90</f>
        <v>539689.50514497305</v>
      </c>
      <c r="D61">
        <f>'Multiple Regression'!L90</f>
        <v>-39391.025144973071</v>
      </c>
      <c r="E61" t="str">
        <f>'Cleaned Data'!A59</f>
        <v>STR-1015</v>
      </c>
      <c r="F61" t="str">
        <f>'Cleaned Data'!C59</f>
        <v>East</v>
      </c>
      <c r="G61" t="str">
        <f>'Cleaned Data'!D59</f>
        <v>Airport</v>
      </c>
    </row>
    <row r="62" spans="1:7">
      <c r="A62">
        <v>59</v>
      </c>
      <c r="B62">
        <f>'Cleaned Data'!M60</f>
        <v>617291.15</v>
      </c>
      <c r="C62">
        <f>'Multiple Regression'!K91</f>
        <v>649181.78063310659</v>
      </c>
      <c r="D62">
        <f>'Multiple Regression'!L91</f>
        <v>-31890.630633106572</v>
      </c>
      <c r="E62" t="str">
        <f>'Cleaned Data'!A60</f>
        <v>STR-1015</v>
      </c>
      <c r="F62" t="str">
        <f>'Cleaned Data'!C60</f>
        <v>East</v>
      </c>
      <c r="G62" t="str">
        <f>'Cleaned Data'!D60</f>
        <v>Airport</v>
      </c>
    </row>
    <row r="63" spans="1:7">
      <c r="A63">
        <v>60</v>
      </c>
      <c r="B63">
        <f>'Cleaned Data'!M61</f>
        <v>553756.43000000005</v>
      </c>
      <c r="C63">
        <f>'Multiple Regression'!K92</f>
        <v>591526.95504222845</v>
      </c>
      <c r="D63">
        <f>'Multiple Regression'!L92</f>
        <v>-37770.525042228401</v>
      </c>
      <c r="E63" t="str">
        <f>'Cleaned Data'!A61</f>
        <v>STR-1015</v>
      </c>
      <c r="F63" t="str">
        <f>'Cleaned Data'!C61</f>
        <v>East</v>
      </c>
      <c r="G63" t="str">
        <f>'Cleaned Data'!D61</f>
        <v>Airport</v>
      </c>
    </row>
    <row r="64" spans="1:7">
      <c r="A64">
        <v>61</v>
      </c>
      <c r="B64">
        <f>'Cleaned Data'!M62</f>
        <v>749559.71</v>
      </c>
      <c r="C64">
        <f>'Multiple Regression'!K93</f>
        <v>672792.92312263092</v>
      </c>
      <c r="D64">
        <f>'Multiple Regression'!L93</f>
        <v>76766.786877369042</v>
      </c>
      <c r="E64" t="str">
        <f>'Cleaned Data'!A62</f>
        <v>STR-1016</v>
      </c>
      <c r="F64" t="str">
        <f>'Cleaned Data'!C62</f>
        <v>South</v>
      </c>
      <c r="G64" t="str">
        <f>'Cleaned Data'!D62</f>
        <v>High Street</v>
      </c>
    </row>
    <row r="65" spans="1:7">
      <c r="A65">
        <v>62</v>
      </c>
      <c r="B65">
        <f>'Cleaned Data'!M63</f>
        <v>615966.48</v>
      </c>
      <c r="C65">
        <f>'Multiple Regression'!K94</f>
        <v>580407.05138354236</v>
      </c>
      <c r="D65">
        <f>'Multiple Regression'!L94</f>
        <v>35559.428616457619</v>
      </c>
      <c r="E65" t="str">
        <f>'Cleaned Data'!A63</f>
        <v>STR-1016</v>
      </c>
      <c r="F65" t="str">
        <f>'Cleaned Data'!C63</f>
        <v>South</v>
      </c>
      <c r="G65" t="str">
        <f>'Cleaned Data'!D63</f>
        <v>High Street</v>
      </c>
    </row>
    <row r="66" spans="1:7">
      <c r="A66">
        <v>63</v>
      </c>
      <c r="B66">
        <f>'Cleaned Data'!M64</f>
        <v>572011.19999999995</v>
      </c>
      <c r="C66">
        <f>'Multiple Regression'!K95</f>
        <v>585891.36656787538</v>
      </c>
      <c r="D66">
        <f>'Multiple Regression'!L95</f>
        <v>-13880.166567875422</v>
      </c>
      <c r="E66" t="str">
        <f>'Cleaned Data'!A64</f>
        <v>STR-1016</v>
      </c>
      <c r="F66" t="str">
        <f>'Cleaned Data'!C64</f>
        <v>South</v>
      </c>
      <c r="G66" t="str">
        <f>'Cleaned Data'!D64</f>
        <v>High Street</v>
      </c>
    </row>
    <row r="67" spans="1:7">
      <c r="A67">
        <v>64</v>
      </c>
      <c r="B67">
        <f>'Cleaned Data'!M65</f>
        <v>761860.19</v>
      </c>
      <c r="C67">
        <f>'Multiple Regression'!K96</f>
        <v>713654.37379436963</v>
      </c>
      <c r="D67">
        <f>'Multiple Regression'!L96</f>
        <v>48205.816205630312</v>
      </c>
      <c r="E67" t="str">
        <f>'Cleaned Data'!A65</f>
        <v>STR-1016</v>
      </c>
      <c r="F67" t="str">
        <f>'Cleaned Data'!C65</f>
        <v>South</v>
      </c>
      <c r="G67" t="str">
        <f>'Cleaned Data'!D65</f>
        <v>High Street</v>
      </c>
    </row>
    <row r="68" spans="1:7">
      <c r="A68">
        <v>65</v>
      </c>
      <c r="B68">
        <f>'Cleaned Data'!M66</f>
        <v>784502.68</v>
      </c>
      <c r="C68">
        <f>'Multiple Regression'!K97</f>
        <v>806138.48161132762</v>
      </c>
      <c r="D68">
        <f>'Multiple Regression'!L97</f>
        <v>-21635.801611327566</v>
      </c>
      <c r="E68" t="str">
        <f>'Cleaned Data'!A66</f>
        <v>STR-1017</v>
      </c>
      <c r="F68" t="str">
        <f>'Cleaned Data'!C66</f>
        <v>West</v>
      </c>
      <c r="G68" t="str">
        <f>'Cleaned Data'!D66</f>
        <v>High Street</v>
      </c>
    </row>
    <row r="69" spans="1:7">
      <c r="A69">
        <v>66</v>
      </c>
      <c r="B69">
        <f>'Cleaned Data'!M67</f>
        <v>717141.55</v>
      </c>
      <c r="C69">
        <f>'Multiple Regression'!K98</f>
        <v>724669.54605998262</v>
      </c>
      <c r="D69">
        <f>'Multiple Regression'!L98</f>
        <v>-7527.9960599825718</v>
      </c>
      <c r="E69" t="str">
        <f>'Cleaned Data'!A67</f>
        <v>STR-1017</v>
      </c>
      <c r="F69" t="str">
        <f>'Cleaned Data'!C67</f>
        <v>West</v>
      </c>
      <c r="G69" t="str">
        <f>'Cleaned Data'!D67</f>
        <v>High Street</v>
      </c>
    </row>
    <row r="70" spans="1:7">
      <c r="A70">
        <v>67</v>
      </c>
      <c r="B70">
        <f>'Cleaned Data'!M68</f>
        <v>685379.08</v>
      </c>
      <c r="C70">
        <f>'Multiple Regression'!K99</f>
        <v>823060.64702746726</v>
      </c>
      <c r="D70">
        <f>'Multiple Regression'!L99</f>
        <v>-137681.5670274673</v>
      </c>
      <c r="E70" t="str">
        <f>'Cleaned Data'!A68</f>
        <v>STR-1017</v>
      </c>
      <c r="F70" t="str">
        <f>'Cleaned Data'!C68</f>
        <v>West</v>
      </c>
      <c r="G70" t="str">
        <f>'Cleaned Data'!D68</f>
        <v>High Street</v>
      </c>
    </row>
    <row r="71" spans="1:7">
      <c r="A71">
        <v>68</v>
      </c>
      <c r="B71">
        <f>'Cleaned Data'!M69</f>
        <v>740496.65</v>
      </c>
      <c r="C71">
        <f>'Multiple Regression'!K100</f>
        <v>722410.19179881946</v>
      </c>
      <c r="D71">
        <f>'Multiple Regression'!L100</f>
        <v>18086.458201180561</v>
      </c>
      <c r="E71" t="str">
        <f>'Cleaned Data'!A69</f>
        <v>STR-1017</v>
      </c>
      <c r="F71" t="str">
        <f>'Cleaned Data'!C69</f>
        <v>West</v>
      </c>
      <c r="G71" t="str">
        <f>'Cleaned Data'!D69</f>
        <v>High Street</v>
      </c>
    </row>
    <row r="72" spans="1:7">
      <c r="A72">
        <v>69</v>
      </c>
      <c r="B72">
        <f>'Cleaned Data'!M70</f>
        <v>661927.14</v>
      </c>
      <c r="C72">
        <f>'Multiple Regression'!K101</f>
        <v>594390.49425679585</v>
      </c>
      <c r="D72">
        <f>'Multiple Regression'!L101</f>
        <v>67536.645743204164</v>
      </c>
      <c r="E72" t="str">
        <f>'Cleaned Data'!A70</f>
        <v>STR-1018</v>
      </c>
      <c r="F72" t="str">
        <f>'Cleaned Data'!C70</f>
        <v>East</v>
      </c>
      <c r="G72" t="str">
        <f>'Cleaned Data'!D70</f>
        <v>High Street</v>
      </c>
    </row>
    <row r="73" spans="1:7">
      <c r="A73">
        <v>70</v>
      </c>
      <c r="B73">
        <f>'Cleaned Data'!M71</f>
        <v>479050.5</v>
      </c>
      <c r="C73">
        <f>'Multiple Regression'!K102</f>
        <v>521041.72489798069</v>
      </c>
      <c r="D73">
        <f>'Multiple Regression'!L102</f>
        <v>-41991.22489798069</v>
      </c>
      <c r="E73" t="str">
        <f>'Cleaned Data'!A71</f>
        <v>STR-1018</v>
      </c>
      <c r="F73" t="str">
        <f>'Cleaned Data'!C71</f>
        <v>East</v>
      </c>
      <c r="G73" t="str">
        <f>'Cleaned Data'!D71</f>
        <v>High Street</v>
      </c>
    </row>
    <row r="74" spans="1:7">
      <c r="A74">
        <v>71</v>
      </c>
      <c r="B74">
        <f>'Cleaned Data'!M72</f>
        <v>605023.87</v>
      </c>
      <c r="C74">
        <f>'Multiple Regression'!K103</f>
        <v>549330.50973791827</v>
      </c>
      <c r="D74">
        <f>'Multiple Regression'!L103</f>
        <v>55693.360262081726</v>
      </c>
      <c r="E74" t="str">
        <f>'Cleaned Data'!A72</f>
        <v>STR-1018</v>
      </c>
      <c r="F74" t="str">
        <f>'Cleaned Data'!C72</f>
        <v>East</v>
      </c>
      <c r="G74" t="str">
        <f>'Cleaned Data'!D72</f>
        <v>High Street</v>
      </c>
    </row>
    <row r="75" spans="1:7">
      <c r="A75">
        <v>72</v>
      </c>
      <c r="B75">
        <f>'Cleaned Data'!M73</f>
        <v>674774.09</v>
      </c>
      <c r="C75">
        <f>'Multiple Regression'!K104</f>
        <v>621790.78493745532</v>
      </c>
      <c r="D75">
        <f>'Multiple Regression'!L104</f>
        <v>52983.305062544649</v>
      </c>
      <c r="E75" t="str">
        <f>'Cleaned Data'!A73</f>
        <v>STR-1018</v>
      </c>
      <c r="F75" t="str">
        <f>'Cleaned Data'!C73</f>
        <v>East</v>
      </c>
      <c r="G75" t="str">
        <f>'Cleaned Data'!D73</f>
        <v>High Street</v>
      </c>
    </row>
    <row r="76" spans="1:7">
      <c r="A76">
        <v>73</v>
      </c>
      <c r="B76">
        <f>'Cleaned Data'!M74</f>
        <v>616069.41</v>
      </c>
      <c r="C76">
        <f>'Multiple Regression'!K105</f>
        <v>626692.07983183744</v>
      </c>
      <c r="D76">
        <f>'Multiple Regression'!L105</f>
        <v>-10622.669831837411</v>
      </c>
      <c r="E76" t="str">
        <f>'Cleaned Data'!A74</f>
        <v>STR-1019</v>
      </c>
      <c r="F76" t="str">
        <f>'Cleaned Data'!C74</f>
        <v>East</v>
      </c>
      <c r="G76" t="str">
        <f>'Cleaned Data'!D74</f>
        <v>Residential</v>
      </c>
    </row>
    <row r="77" spans="1:7">
      <c r="A77">
        <v>74</v>
      </c>
      <c r="B77">
        <f>'Cleaned Data'!M75</f>
        <v>630829.93999999994</v>
      </c>
      <c r="C77">
        <f>'Multiple Regression'!K106</f>
        <v>675604.54961491586</v>
      </c>
      <c r="D77">
        <f>'Multiple Regression'!L106</f>
        <v>-44774.609614915913</v>
      </c>
      <c r="E77" t="str">
        <f>'Cleaned Data'!A75</f>
        <v>STR-1019</v>
      </c>
      <c r="F77" t="str">
        <f>'Cleaned Data'!C75</f>
        <v>East</v>
      </c>
      <c r="G77" t="str">
        <f>'Cleaned Data'!D75</f>
        <v>Residential</v>
      </c>
    </row>
    <row r="78" spans="1:7">
      <c r="A78">
        <v>75</v>
      </c>
      <c r="B78">
        <f>'Cleaned Data'!M76</f>
        <v>788087.68</v>
      </c>
      <c r="C78">
        <f>'Multiple Regression'!K107</f>
        <v>708357.14041211712</v>
      </c>
      <c r="D78">
        <f>'Multiple Regression'!L107</f>
        <v>79730.539587882929</v>
      </c>
      <c r="E78" t="str">
        <f>'Cleaned Data'!A76</f>
        <v>STR-1019</v>
      </c>
      <c r="F78" t="str">
        <f>'Cleaned Data'!C76</f>
        <v>East</v>
      </c>
      <c r="G78" t="str">
        <f>'Cleaned Data'!D76</f>
        <v>Residential</v>
      </c>
    </row>
    <row r="79" spans="1:7">
      <c r="A79">
        <v>76</v>
      </c>
      <c r="B79">
        <f>'Cleaned Data'!M77</f>
        <v>680840.36</v>
      </c>
      <c r="C79">
        <f>'Multiple Regression'!K108</f>
        <v>725510.31701328373</v>
      </c>
      <c r="D79">
        <f>'Multiple Regression'!L108</f>
        <v>-44669.95701328374</v>
      </c>
      <c r="E79" t="str">
        <f>'Cleaned Data'!A77</f>
        <v>STR-1019</v>
      </c>
      <c r="F79" t="str">
        <f>'Cleaned Data'!C77</f>
        <v>East</v>
      </c>
      <c r="G79" t="str">
        <f>'Cleaned Data'!D77</f>
        <v>Residential</v>
      </c>
    </row>
    <row r="80" spans="1:7">
      <c r="A80">
        <v>77</v>
      </c>
      <c r="B80">
        <f>'Cleaned Data'!M78</f>
        <v>643657.47</v>
      </c>
      <c r="C80">
        <f>'Multiple Regression'!K109</f>
        <v>702081.21809728676</v>
      </c>
      <c r="D80">
        <f>'Multiple Regression'!L109</f>
        <v>-58423.748097286792</v>
      </c>
      <c r="E80" t="str">
        <f>'Cleaned Data'!A78</f>
        <v>STR-1020</v>
      </c>
      <c r="F80" t="str">
        <f>'Cleaned Data'!C78</f>
        <v>South</v>
      </c>
      <c r="G80" t="str">
        <f>'Cleaned Data'!D78</f>
        <v>High Street</v>
      </c>
    </row>
    <row r="81" spans="1:7">
      <c r="A81">
        <v>78</v>
      </c>
      <c r="B81">
        <f>'Cleaned Data'!M79</f>
        <v>691112.6</v>
      </c>
      <c r="C81">
        <f>'Multiple Regression'!K110</f>
        <v>659996.27557650174</v>
      </c>
      <c r="D81">
        <f>'Multiple Regression'!L110</f>
        <v>31116.324423498241</v>
      </c>
      <c r="E81" t="str">
        <f>'Cleaned Data'!A79</f>
        <v>STR-1020</v>
      </c>
      <c r="F81" t="str">
        <f>'Cleaned Data'!C79</f>
        <v>South</v>
      </c>
      <c r="G81" t="str">
        <f>'Cleaned Data'!D79</f>
        <v>High Street</v>
      </c>
    </row>
    <row r="82" spans="1:7">
      <c r="A82">
        <v>79</v>
      </c>
      <c r="B82">
        <f>'Cleaned Data'!M80</f>
        <v>776922.17</v>
      </c>
      <c r="C82">
        <f>'Multiple Regression'!K111</f>
        <v>742624.45221234916</v>
      </c>
      <c r="D82">
        <f>'Multiple Regression'!L111</f>
        <v>34297.717787650879</v>
      </c>
      <c r="E82" t="str">
        <f>'Cleaned Data'!A80</f>
        <v>STR-1020</v>
      </c>
      <c r="F82" t="str">
        <f>'Cleaned Data'!C80</f>
        <v>South</v>
      </c>
      <c r="G82" t="str">
        <f>'Cleaned Data'!D80</f>
        <v>High Street</v>
      </c>
    </row>
    <row r="83" spans="1:7">
      <c r="A83">
        <v>80</v>
      </c>
      <c r="B83">
        <f>'Cleaned Data'!M81</f>
        <v>636561.34</v>
      </c>
      <c r="C83">
        <f>'Multiple Regression'!K112</f>
        <v>691259.90917100245</v>
      </c>
      <c r="D83">
        <f>'Multiple Regression'!L112</f>
        <v>-54698.569171002484</v>
      </c>
      <c r="E83" t="str">
        <f>'Cleaned Data'!A81</f>
        <v>STR-1020</v>
      </c>
      <c r="F83" t="str">
        <f>'Cleaned Data'!C81</f>
        <v>South</v>
      </c>
      <c r="G83" t="str">
        <f>'Cleaned Data'!D81</f>
        <v>High Street</v>
      </c>
    </row>
    <row r="84" spans="1:7">
      <c r="A84">
        <v>81</v>
      </c>
      <c r="B84">
        <f>'Cleaned Data'!M82</f>
        <v>621369.57999999996</v>
      </c>
      <c r="C84">
        <f>'Multiple Regression'!K113</f>
        <v>654678.0697207147</v>
      </c>
      <c r="D84">
        <f>'Multiple Regression'!L113</f>
        <v>-33308.489720714744</v>
      </c>
      <c r="E84" t="str">
        <f>'Cleaned Data'!A82</f>
        <v>STR-1021</v>
      </c>
      <c r="F84" t="str">
        <f>'Cleaned Data'!C82</f>
        <v>West</v>
      </c>
      <c r="G84" t="str">
        <f>'Cleaned Data'!D82</f>
        <v>Mall</v>
      </c>
    </row>
    <row r="85" spans="1:7">
      <c r="A85">
        <v>82</v>
      </c>
      <c r="B85">
        <f>'Cleaned Data'!M83</f>
        <v>682208.01</v>
      </c>
      <c r="C85">
        <f>'Multiple Regression'!K114</f>
        <v>614743.86844132678</v>
      </c>
      <c r="D85">
        <f>'Multiple Regression'!L114</f>
        <v>67464.141558673233</v>
      </c>
      <c r="E85" t="str">
        <f>'Cleaned Data'!A83</f>
        <v>STR-1021</v>
      </c>
      <c r="F85" t="str">
        <f>'Cleaned Data'!C83</f>
        <v>West</v>
      </c>
      <c r="G85" t="str">
        <f>'Cleaned Data'!D83</f>
        <v>Mall</v>
      </c>
    </row>
    <row r="86" spans="1:7">
      <c r="A86">
        <v>83</v>
      </c>
      <c r="B86">
        <f>'Cleaned Data'!M84</f>
        <v>727241.86</v>
      </c>
      <c r="C86">
        <f>'Multiple Regression'!K115</f>
        <v>645707.09269105981</v>
      </c>
      <c r="D86">
        <f>'Multiple Regression'!L115</f>
        <v>81534.76730894018</v>
      </c>
      <c r="E86" t="str">
        <f>'Cleaned Data'!A84</f>
        <v>STR-1021</v>
      </c>
      <c r="F86" t="str">
        <f>'Cleaned Data'!C84</f>
        <v>West</v>
      </c>
      <c r="G86" t="str">
        <f>'Cleaned Data'!D84</f>
        <v>Mall</v>
      </c>
    </row>
    <row r="87" spans="1:7">
      <c r="A87">
        <v>84</v>
      </c>
      <c r="B87">
        <f>'Cleaned Data'!M85</f>
        <v>569100.78</v>
      </c>
      <c r="C87">
        <f>'Multiple Regression'!K116</f>
        <v>556531.2695909621</v>
      </c>
      <c r="D87">
        <f>'Multiple Regression'!L116</f>
        <v>12569.510409037932</v>
      </c>
      <c r="E87" t="str">
        <f>'Cleaned Data'!A85</f>
        <v>STR-1021</v>
      </c>
      <c r="F87" t="str">
        <f>'Cleaned Data'!C85</f>
        <v>West</v>
      </c>
      <c r="G87" t="str">
        <f>'Cleaned Data'!D85</f>
        <v>Mall</v>
      </c>
    </row>
    <row r="88" spans="1:7">
      <c r="A88">
        <v>85</v>
      </c>
      <c r="B88">
        <f>'Cleaned Data'!M86</f>
        <v>574436.29</v>
      </c>
      <c r="C88">
        <f>'Multiple Regression'!K117</f>
        <v>562010.30907430861</v>
      </c>
      <c r="D88">
        <f>'Multiple Regression'!L117</f>
        <v>12425.98092569143</v>
      </c>
      <c r="E88" t="str">
        <f>'Cleaned Data'!A86</f>
        <v>STR-1022</v>
      </c>
      <c r="F88" t="str">
        <f>'Cleaned Data'!C86</f>
        <v>West</v>
      </c>
      <c r="G88" t="str">
        <f>'Cleaned Data'!D86</f>
        <v>High Street</v>
      </c>
    </row>
    <row r="89" spans="1:7">
      <c r="A89">
        <v>86</v>
      </c>
      <c r="B89">
        <f>'Cleaned Data'!M87</f>
        <v>611766.72</v>
      </c>
      <c r="C89">
        <f>'Multiple Regression'!K118</f>
        <v>635579.40448815236</v>
      </c>
      <c r="D89">
        <f>'Multiple Regression'!L118</f>
        <v>-23812.684488152387</v>
      </c>
      <c r="E89" t="str">
        <f>'Cleaned Data'!A87</f>
        <v>STR-1022</v>
      </c>
      <c r="F89" t="str">
        <f>'Cleaned Data'!C87</f>
        <v>West</v>
      </c>
      <c r="G89" t="str">
        <f>'Cleaned Data'!D87</f>
        <v>High Street</v>
      </c>
    </row>
    <row r="90" spans="1:7">
      <c r="A90">
        <v>87</v>
      </c>
      <c r="B90">
        <f>'Cleaned Data'!M88</f>
        <v>614596.31999999995</v>
      </c>
      <c r="C90">
        <f>'Multiple Regression'!K119</f>
        <v>617641.37201255979</v>
      </c>
      <c r="D90">
        <f>'Multiple Regression'!L119</f>
        <v>-3045.0520125598414</v>
      </c>
      <c r="E90" t="str">
        <f>'Cleaned Data'!A88</f>
        <v>STR-1022</v>
      </c>
      <c r="F90" t="str">
        <f>'Cleaned Data'!C88</f>
        <v>West</v>
      </c>
      <c r="G90" t="str">
        <f>'Cleaned Data'!D88</f>
        <v>High Street</v>
      </c>
    </row>
    <row r="91" spans="1:7">
      <c r="A91">
        <v>88</v>
      </c>
      <c r="B91">
        <f>'Cleaned Data'!M89</f>
        <v>450711.92</v>
      </c>
      <c r="C91">
        <f>'Multiple Regression'!K120</f>
        <v>471611.37442696944</v>
      </c>
      <c r="D91">
        <f>'Multiple Regression'!L120</f>
        <v>-20899.45442696946</v>
      </c>
      <c r="E91" t="str">
        <f>'Cleaned Data'!A89</f>
        <v>STR-1022</v>
      </c>
      <c r="F91" t="str">
        <f>'Cleaned Data'!C89</f>
        <v>West</v>
      </c>
      <c r="G91" t="str">
        <f>'Cleaned Data'!D89</f>
        <v>High Street</v>
      </c>
    </row>
    <row r="92" spans="1:7">
      <c r="A92">
        <v>89</v>
      </c>
      <c r="B92">
        <f>'Cleaned Data'!M90</f>
        <v>711213.46</v>
      </c>
      <c r="C92">
        <f>'Multiple Regression'!K121</f>
        <v>712278.31860142516</v>
      </c>
      <c r="D92">
        <f>'Multiple Regression'!L121</f>
        <v>-1064.8586014251923</v>
      </c>
      <c r="E92" t="str">
        <f>'Cleaned Data'!A90</f>
        <v>STR-1023</v>
      </c>
      <c r="F92" t="str">
        <f>'Cleaned Data'!C90</f>
        <v>South</v>
      </c>
      <c r="G92" t="str">
        <f>'Cleaned Data'!D90</f>
        <v>Mall</v>
      </c>
    </row>
    <row r="93" spans="1:7">
      <c r="A93">
        <v>90</v>
      </c>
      <c r="B93">
        <f>'Cleaned Data'!M91</f>
        <v>627171.9</v>
      </c>
      <c r="C93">
        <f>'Multiple Regression'!K122</f>
        <v>742059.25748978893</v>
      </c>
      <c r="D93">
        <f>'Multiple Regression'!L122</f>
        <v>-114887.3574897889</v>
      </c>
      <c r="E93" t="str">
        <f>'Cleaned Data'!A91</f>
        <v>STR-1023</v>
      </c>
      <c r="F93" t="str">
        <f>'Cleaned Data'!C91</f>
        <v>South</v>
      </c>
      <c r="G93" t="str">
        <f>'Cleaned Data'!D91</f>
        <v>Mall</v>
      </c>
    </row>
    <row r="94" spans="1:7">
      <c r="A94">
        <v>91</v>
      </c>
      <c r="B94">
        <f>'Cleaned Data'!M92</f>
        <v>739852.58</v>
      </c>
      <c r="C94">
        <f>'Multiple Regression'!K123</f>
        <v>703279.37115775014</v>
      </c>
      <c r="D94">
        <f>'Multiple Regression'!L123</f>
        <v>36573.20884224982</v>
      </c>
      <c r="E94" t="str">
        <f>'Cleaned Data'!A92</f>
        <v>STR-1023</v>
      </c>
      <c r="F94" t="str">
        <f>'Cleaned Data'!C92</f>
        <v>South</v>
      </c>
      <c r="G94" t="str">
        <f>'Cleaned Data'!D92</f>
        <v>Mall</v>
      </c>
    </row>
    <row r="95" spans="1:7">
      <c r="A95">
        <v>92</v>
      </c>
      <c r="B95">
        <f>'Cleaned Data'!M93</f>
        <v>586307.22</v>
      </c>
      <c r="C95">
        <f>'Multiple Regression'!K124</f>
        <v>564537.45108143147</v>
      </c>
      <c r="D95">
        <f>'Multiple Regression'!L124</f>
        <v>21769.768918568501</v>
      </c>
      <c r="E95" t="str">
        <f>'Cleaned Data'!A93</f>
        <v>STR-1023</v>
      </c>
      <c r="F95" t="str">
        <f>'Cleaned Data'!C93</f>
        <v>South</v>
      </c>
      <c r="G95" t="str">
        <f>'Cleaned Data'!D93</f>
        <v>Mall</v>
      </c>
    </row>
    <row r="96" spans="1:7">
      <c r="A96">
        <v>93</v>
      </c>
      <c r="B96">
        <f>'Cleaned Data'!M94</f>
        <v>585937.48</v>
      </c>
      <c r="C96">
        <f>'Multiple Regression'!K125</f>
        <v>601056.23700655589</v>
      </c>
      <c r="D96">
        <f>'Multiple Regression'!L125</f>
        <v>-15118.757006555912</v>
      </c>
      <c r="E96" t="str">
        <f>'Cleaned Data'!A94</f>
        <v>STR-1024</v>
      </c>
      <c r="F96" t="str">
        <f>'Cleaned Data'!C94</f>
        <v>West</v>
      </c>
      <c r="G96" t="str">
        <f>'Cleaned Data'!D94</f>
        <v>Residential</v>
      </c>
    </row>
    <row r="97" spans="1:7">
      <c r="A97">
        <v>94</v>
      </c>
      <c r="B97">
        <f>'Cleaned Data'!M95</f>
        <v>753473.55</v>
      </c>
      <c r="C97">
        <f>'Multiple Regression'!K126</f>
        <v>695705.71573640569</v>
      </c>
      <c r="D97">
        <f>'Multiple Regression'!L126</f>
        <v>57767.834263594355</v>
      </c>
      <c r="E97" t="str">
        <f>'Cleaned Data'!A95</f>
        <v>STR-1024</v>
      </c>
      <c r="F97" t="str">
        <f>'Cleaned Data'!C95</f>
        <v>West</v>
      </c>
      <c r="G97" t="str">
        <f>'Cleaned Data'!D95</f>
        <v>Residential</v>
      </c>
    </row>
    <row r="98" spans="1:7">
      <c r="A98">
        <v>95</v>
      </c>
      <c r="B98">
        <f>'Cleaned Data'!M96</f>
        <v>838250.32</v>
      </c>
      <c r="C98">
        <f>'Multiple Regression'!K127</f>
        <v>763339.38573308999</v>
      </c>
      <c r="D98">
        <f>'Multiple Regression'!L127</f>
        <v>74910.934266909957</v>
      </c>
      <c r="E98" t="str">
        <f>'Cleaned Data'!A96</f>
        <v>STR-1024</v>
      </c>
      <c r="F98" t="str">
        <f>'Cleaned Data'!C96</f>
        <v>West</v>
      </c>
      <c r="G98" t="str">
        <f>'Cleaned Data'!D96</f>
        <v>Residential</v>
      </c>
    </row>
    <row r="99" spans="1:7">
      <c r="A99">
        <v>96</v>
      </c>
      <c r="B99">
        <f>'Cleaned Data'!M97</f>
        <v>607898.12</v>
      </c>
      <c r="C99">
        <f>'Multiple Regression'!K128</f>
        <v>615260.71881983022</v>
      </c>
      <c r="D99">
        <f>'Multiple Regression'!L128</f>
        <v>-7362.5988198302221</v>
      </c>
      <c r="E99" t="str">
        <f>'Cleaned Data'!A97</f>
        <v>STR-1024</v>
      </c>
      <c r="F99" t="str">
        <f>'Cleaned Data'!C97</f>
        <v>West</v>
      </c>
      <c r="G99" t="str">
        <f>'Cleaned Data'!D97</f>
        <v>Residential</v>
      </c>
    </row>
    <row r="100" spans="1:7">
      <c r="A100">
        <v>97</v>
      </c>
      <c r="B100">
        <f>'Cleaned Data'!M98</f>
        <v>691113.62</v>
      </c>
      <c r="C100">
        <f>'Multiple Regression'!K129</f>
        <v>693033.08330314606</v>
      </c>
      <c r="D100">
        <f>'Multiple Regression'!L129</f>
        <v>-1919.4633031460689</v>
      </c>
      <c r="E100" t="str">
        <f>'Cleaned Data'!A98</f>
        <v>STR-1025</v>
      </c>
      <c r="F100" t="str">
        <f>'Cleaned Data'!C98</f>
        <v>West</v>
      </c>
      <c r="G100" t="str">
        <f>'Cleaned Data'!D98</f>
        <v>Mall</v>
      </c>
    </row>
    <row r="101" spans="1:7">
      <c r="A101">
        <v>98</v>
      </c>
      <c r="B101">
        <f>'Cleaned Data'!M99</f>
        <v>735509.4</v>
      </c>
      <c r="C101">
        <f>'Multiple Regression'!K130</f>
        <v>662856.81165938533</v>
      </c>
      <c r="D101">
        <f>'Multiple Regression'!L130</f>
        <v>72652.58834061469</v>
      </c>
      <c r="E101" t="str">
        <f>'Cleaned Data'!A99</f>
        <v>STR-1025</v>
      </c>
      <c r="F101" t="str">
        <f>'Cleaned Data'!C99</f>
        <v>West</v>
      </c>
      <c r="G101" t="str">
        <f>'Cleaned Data'!D99</f>
        <v>Mall</v>
      </c>
    </row>
    <row r="102" spans="1:7">
      <c r="A102">
        <v>99</v>
      </c>
      <c r="B102">
        <f>'Cleaned Data'!M100</f>
        <v>605775.32999999996</v>
      </c>
      <c r="C102">
        <f>'Multiple Regression'!K131</f>
        <v>609070.73386776855</v>
      </c>
      <c r="D102">
        <f>'Multiple Regression'!L131</f>
        <v>-3295.4038677685894</v>
      </c>
      <c r="E102" t="str">
        <f>'Cleaned Data'!A100</f>
        <v>STR-1025</v>
      </c>
      <c r="F102" t="str">
        <f>'Cleaned Data'!C100</f>
        <v>West</v>
      </c>
      <c r="G102" t="str">
        <f>'Cleaned Data'!D100</f>
        <v>Mall</v>
      </c>
    </row>
    <row r="103" spans="1:7">
      <c r="A103">
        <v>100</v>
      </c>
      <c r="B103">
        <f>'Cleaned Data'!M101</f>
        <v>675177.68</v>
      </c>
      <c r="C103">
        <f>'Multiple Regression'!K132</f>
        <v>635088.05594918737</v>
      </c>
      <c r="D103">
        <f>'Multiple Regression'!L132</f>
        <v>40089.624050812679</v>
      </c>
      <c r="E103" t="str">
        <f>'Cleaned Data'!A101</f>
        <v>STR-1025</v>
      </c>
      <c r="F103" t="str">
        <f>'Cleaned Data'!C101</f>
        <v>West</v>
      </c>
      <c r="G103" t="str">
        <f>'Cleaned Data'!D101</f>
        <v>Mall</v>
      </c>
    </row>
    <row r="104" spans="1:7">
      <c r="A104">
        <v>101</v>
      </c>
      <c r="B104">
        <f>'Cleaned Data'!M102</f>
        <v>635181.35</v>
      </c>
      <c r="C104">
        <f>'Multiple Regression'!K133</f>
        <v>565523.32500558475</v>
      </c>
      <c r="D104">
        <f>'Multiple Regression'!L133</f>
        <v>69658.024994415231</v>
      </c>
      <c r="E104" t="str">
        <f>'Cleaned Data'!A102</f>
        <v>STR-1026</v>
      </c>
      <c r="F104" t="str">
        <f>'Cleaned Data'!C102</f>
        <v>East</v>
      </c>
      <c r="G104" t="str">
        <f>'Cleaned Data'!D102</f>
        <v>Mall</v>
      </c>
    </row>
    <row r="105" spans="1:7">
      <c r="A105">
        <v>102</v>
      </c>
      <c r="B105">
        <f>'Cleaned Data'!M103</f>
        <v>586626.93999999994</v>
      </c>
      <c r="C105">
        <f>'Multiple Regression'!K134</f>
        <v>602948.30595164467</v>
      </c>
      <c r="D105">
        <f>'Multiple Regression'!L134</f>
        <v>-16321.365951644722</v>
      </c>
      <c r="E105" t="str">
        <f>'Cleaned Data'!A103</f>
        <v>STR-1026</v>
      </c>
      <c r="F105" t="str">
        <f>'Cleaned Data'!C103</f>
        <v>East</v>
      </c>
      <c r="G105" t="str">
        <f>'Cleaned Data'!D103</f>
        <v>Mall</v>
      </c>
    </row>
    <row r="106" spans="1:7">
      <c r="A106">
        <v>103</v>
      </c>
      <c r="B106">
        <f>'Cleaned Data'!M104</f>
        <v>740102.64</v>
      </c>
      <c r="C106">
        <f>'Multiple Regression'!K135</f>
        <v>717928.25841661089</v>
      </c>
      <c r="D106">
        <f>'Multiple Regression'!L135</f>
        <v>22174.381583389128</v>
      </c>
      <c r="E106" t="str">
        <f>'Cleaned Data'!A104</f>
        <v>STR-1026</v>
      </c>
      <c r="F106" t="str">
        <f>'Cleaned Data'!C104</f>
        <v>East</v>
      </c>
      <c r="G106" t="str">
        <f>'Cleaned Data'!D104</f>
        <v>Mall</v>
      </c>
    </row>
    <row r="107" spans="1:7">
      <c r="A107">
        <v>104</v>
      </c>
      <c r="B107">
        <f>'Cleaned Data'!M105</f>
        <v>625514.04</v>
      </c>
      <c r="C107">
        <f>'Multiple Regression'!K136</f>
        <v>494327.60266300087</v>
      </c>
      <c r="D107">
        <f>'Multiple Regression'!L136</f>
        <v>131186.43733699917</v>
      </c>
      <c r="E107" t="str">
        <f>'Cleaned Data'!A105</f>
        <v>STR-1026</v>
      </c>
      <c r="F107" t="str">
        <f>'Cleaned Data'!C105</f>
        <v>East</v>
      </c>
      <c r="G107" t="str">
        <f>'Cleaned Data'!D105</f>
        <v>Mall</v>
      </c>
    </row>
    <row r="108" spans="1:7">
      <c r="A108">
        <v>105</v>
      </c>
      <c r="B108">
        <f>'Cleaned Data'!M106</f>
        <v>727227.2</v>
      </c>
      <c r="C108">
        <f>'Multiple Regression'!K137</f>
        <v>722712.99386679649</v>
      </c>
      <c r="D108">
        <f>'Multiple Regression'!L137</f>
        <v>4514.2061332034646</v>
      </c>
      <c r="E108" t="str">
        <f>'Cleaned Data'!A106</f>
        <v>STR-1027</v>
      </c>
      <c r="F108" t="str">
        <f>'Cleaned Data'!C106</f>
        <v>West</v>
      </c>
      <c r="G108" t="str">
        <f>'Cleaned Data'!D106</f>
        <v>High Street</v>
      </c>
    </row>
    <row r="109" spans="1:7">
      <c r="A109">
        <v>106</v>
      </c>
      <c r="B109">
        <f>'Cleaned Data'!M107</f>
        <v>783797.89</v>
      </c>
      <c r="C109">
        <f>'Multiple Regression'!K138</f>
        <v>781760.08464610076</v>
      </c>
      <c r="D109">
        <f>'Multiple Regression'!L138</f>
        <v>2037.8053538992535</v>
      </c>
      <c r="E109" t="str">
        <f>'Cleaned Data'!A107</f>
        <v>STR-1027</v>
      </c>
      <c r="F109" t="str">
        <f>'Cleaned Data'!C107</f>
        <v>West</v>
      </c>
      <c r="G109" t="str">
        <f>'Cleaned Data'!D107</f>
        <v>High Street</v>
      </c>
    </row>
    <row r="110" spans="1:7">
      <c r="A110">
        <v>107</v>
      </c>
      <c r="B110">
        <f>'Cleaned Data'!M108</f>
        <v>795153.84</v>
      </c>
      <c r="C110">
        <f>'Multiple Regression'!K139</f>
        <v>702599.37702642067</v>
      </c>
      <c r="D110">
        <f>'Multiple Regression'!L139</f>
        <v>92554.462973579299</v>
      </c>
      <c r="E110" t="str">
        <f>'Cleaned Data'!A108</f>
        <v>STR-1027</v>
      </c>
      <c r="F110" t="str">
        <f>'Cleaned Data'!C108</f>
        <v>West</v>
      </c>
      <c r="G110" t="str">
        <f>'Cleaned Data'!D108</f>
        <v>High Street</v>
      </c>
    </row>
    <row r="111" spans="1:7">
      <c r="A111">
        <v>108</v>
      </c>
      <c r="B111">
        <f>'Cleaned Data'!M109</f>
        <v>665594.93999999994</v>
      </c>
      <c r="C111">
        <f>'Multiple Regression'!K140</f>
        <v>670475.46105570591</v>
      </c>
      <c r="D111">
        <f>'Multiple Regression'!L140</f>
        <v>-4880.5210557059618</v>
      </c>
      <c r="E111" t="str">
        <f>'Cleaned Data'!A109</f>
        <v>STR-1027</v>
      </c>
      <c r="F111" t="str">
        <f>'Cleaned Data'!C109</f>
        <v>West</v>
      </c>
      <c r="G111" t="str">
        <f>'Cleaned Data'!D109</f>
        <v>High Street</v>
      </c>
    </row>
    <row r="112" spans="1:7">
      <c r="A112">
        <v>109</v>
      </c>
      <c r="B112">
        <f>'Cleaned Data'!M110</f>
        <v>709478.39</v>
      </c>
      <c r="C112">
        <f>'Multiple Regression'!K141</f>
        <v>719129.65658844425</v>
      </c>
      <c r="D112">
        <f>'Multiple Regression'!L141</f>
        <v>-9651.2665884442395</v>
      </c>
      <c r="E112" t="str">
        <f>'Cleaned Data'!A110</f>
        <v>STR-1028</v>
      </c>
      <c r="F112" t="str">
        <f>'Cleaned Data'!C110</f>
        <v>East</v>
      </c>
      <c r="G112" t="str">
        <f>'Cleaned Data'!D110</f>
        <v>Mall</v>
      </c>
    </row>
    <row r="113" spans="1:7">
      <c r="A113">
        <v>110</v>
      </c>
      <c r="B113">
        <f>'Cleaned Data'!M111</f>
        <v>664162.49</v>
      </c>
      <c r="C113">
        <f>'Multiple Regression'!K142</f>
        <v>640626.89654575766</v>
      </c>
      <c r="D113">
        <f>'Multiple Regression'!L142</f>
        <v>23535.593454242335</v>
      </c>
      <c r="E113" t="str">
        <f>'Cleaned Data'!A111</f>
        <v>STR-1028</v>
      </c>
      <c r="F113" t="str">
        <f>'Cleaned Data'!C111</f>
        <v>East</v>
      </c>
      <c r="G113" t="str">
        <f>'Cleaned Data'!D111</f>
        <v>Mall</v>
      </c>
    </row>
    <row r="114" spans="1:7">
      <c r="A114">
        <v>111</v>
      </c>
      <c r="B114">
        <f>'Cleaned Data'!M112</f>
        <v>633494.21</v>
      </c>
      <c r="C114">
        <f>'Multiple Regression'!K143</f>
        <v>625413.85298590444</v>
      </c>
      <c r="D114">
        <f>'Multiple Regression'!L143</f>
        <v>8080.3570140955271</v>
      </c>
      <c r="E114" t="str">
        <f>'Cleaned Data'!A112</f>
        <v>STR-1028</v>
      </c>
      <c r="F114" t="str">
        <f>'Cleaned Data'!C112</f>
        <v>East</v>
      </c>
      <c r="G114" t="str">
        <f>'Cleaned Data'!D112</f>
        <v>Mall</v>
      </c>
    </row>
    <row r="115" spans="1:7">
      <c r="A115">
        <v>112</v>
      </c>
      <c r="B115">
        <f>'Cleaned Data'!M113</f>
        <v>713611.16</v>
      </c>
      <c r="C115">
        <f>'Multiple Regression'!K144</f>
        <v>577486.68220818241</v>
      </c>
      <c r="D115">
        <f>'Multiple Regression'!L144</f>
        <v>136124.47779181763</v>
      </c>
      <c r="E115" t="str">
        <f>'Cleaned Data'!A113</f>
        <v>STR-1028</v>
      </c>
      <c r="F115" t="str">
        <f>'Cleaned Data'!C113</f>
        <v>East</v>
      </c>
      <c r="G115" t="str">
        <f>'Cleaned Data'!D113</f>
        <v>Mall</v>
      </c>
    </row>
    <row r="116" spans="1:7">
      <c r="A116">
        <v>113</v>
      </c>
      <c r="B116">
        <f>'Cleaned Data'!M114</f>
        <v>778397.97</v>
      </c>
      <c r="C116">
        <f>'Multiple Regression'!K145</f>
        <v>775653.62019679311</v>
      </c>
      <c r="D116">
        <f>'Multiple Regression'!L145</f>
        <v>2744.3498032068601</v>
      </c>
      <c r="E116" t="str">
        <f>'Cleaned Data'!A114</f>
        <v>STR-1029</v>
      </c>
      <c r="F116" t="str">
        <f>'Cleaned Data'!C114</f>
        <v>West</v>
      </c>
      <c r="G116" t="str">
        <f>'Cleaned Data'!D114</f>
        <v>Mall</v>
      </c>
    </row>
    <row r="117" spans="1:7">
      <c r="A117">
        <v>114</v>
      </c>
      <c r="B117">
        <f>'Cleaned Data'!M115</f>
        <v>873380.02</v>
      </c>
      <c r="C117">
        <f>'Multiple Regression'!K146</f>
        <v>812293.43532515643</v>
      </c>
      <c r="D117">
        <f>'Multiple Regression'!L146</f>
        <v>61086.584674843587</v>
      </c>
      <c r="E117" t="str">
        <f>'Cleaned Data'!A115</f>
        <v>STR-1029</v>
      </c>
      <c r="F117" t="str">
        <f>'Cleaned Data'!C115</f>
        <v>West</v>
      </c>
      <c r="G117" t="str">
        <f>'Cleaned Data'!D115</f>
        <v>Mall</v>
      </c>
    </row>
    <row r="118" spans="1:7">
      <c r="A118">
        <v>115</v>
      </c>
      <c r="B118">
        <f>'Cleaned Data'!M116</f>
        <v>697287.9</v>
      </c>
      <c r="C118">
        <f>'Multiple Regression'!K147</f>
        <v>753923.42625670345</v>
      </c>
      <c r="D118">
        <f>'Multiple Regression'!L147</f>
        <v>-56635.526256703422</v>
      </c>
      <c r="E118" t="str">
        <f>'Cleaned Data'!A116</f>
        <v>STR-1029</v>
      </c>
      <c r="F118" t="str">
        <f>'Cleaned Data'!C116</f>
        <v>West</v>
      </c>
      <c r="G118" t="str">
        <f>'Cleaned Data'!D116</f>
        <v>Mall</v>
      </c>
    </row>
    <row r="119" spans="1:7">
      <c r="A119">
        <v>116</v>
      </c>
      <c r="B119">
        <f>'Cleaned Data'!M117</f>
        <v>718074.79</v>
      </c>
      <c r="C119">
        <f>'Multiple Regression'!K148</f>
        <v>745969.80468608986</v>
      </c>
      <c r="D119">
        <f>'Multiple Regression'!L148</f>
        <v>-27895.014686089824</v>
      </c>
      <c r="E119" t="str">
        <f>'Cleaned Data'!A117</f>
        <v>STR-1029</v>
      </c>
      <c r="F119" t="str">
        <f>'Cleaned Data'!C117</f>
        <v>West</v>
      </c>
      <c r="G119" t="str">
        <f>'Cleaned Data'!D117</f>
        <v>Mall</v>
      </c>
    </row>
    <row r="120" spans="1:7">
      <c r="A120">
        <v>117</v>
      </c>
      <c r="B120">
        <f>'Cleaned Data'!M118</f>
        <v>714942.43</v>
      </c>
      <c r="C120">
        <f>'Multiple Regression'!K149</f>
        <v>722646.36460316996</v>
      </c>
      <c r="D120">
        <f>'Multiple Regression'!L149</f>
        <v>-7703.9346031699097</v>
      </c>
      <c r="E120" t="str">
        <f>'Cleaned Data'!A118</f>
        <v>STR-1030</v>
      </c>
      <c r="F120" t="str">
        <f>'Cleaned Data'!C118</f>
        <v>West</v>
      </c>
      <c r="G120" t="str">
        <f>'Cleaned Data'!D118</f>
        <v>Residential</v>
      </c>
    </row>
    <row r="121" spans="1:7">
      <c r="A121">
        <v>118</v>
      </c>
      <c r="B121">
        <f>'Cleaned Data'!M119</f>
        <v>820519.04</v>
      </c>
      <c r="C121">
        <f>'Multiple Regression'!K150</f>
        <v>748514.47905817232</v>
      </c>
      <c r="D121">
        <f>'Multiple Regression'!L150</f>
        <v>72004.560941827716</v>
      </c>
      <c r="E121" t="str">
        <f>'Cleaned Data'!A119</f>
        <v>STR-1030</v>
      </c>
      <c r="F121" t="str">
        <f>'Cleaned Data'!C119</f>
        <v>West</v>
      </c>
      <c r="G121" t="str">
        <f>'Cleaned Data'!D119</f>
        <v>Residential</v>
      </c>
    </row>
    <row r="122" spans="1:7">
      <c r="A122">
        <v>119</v>
      </c>
      <c r="B122">
        <f>'Cleaned Data'!M120</f>
        <v>684217.32</v>
      </c>
      <c r="C122">
        <f>'Multiple Regression'!K151</f>
        <v>731500.03754999733</v>
      </c>
      <c r="D122">
        <f>'Multiple Regression'!L151</f>
        <v>-47282.717549997382</v>
      </c>
      <c r="E122" t="str">
        <f>'Cleaned Data'!A120</f>
        <v>STR-1030</v>
      </c>
      <c r="F122" t="str">
        <f>'Cleaned Data'!C120</f>
        <v>West</v>
      </c>
      <c r="G122" t="str">
        <f>'Cleaned Data'!D120</f>
        <v>Residential</v>
      </c>
    </row>
    <row r="123" spans="1:7">
      <c r="A123">
        <v>120</v>
      </c>
      <c r="B123">
        <f>'Cleaned Data'!M121</f>
        <v>735480.19</v>
      </c>
      <c r="C123">
        <f>'Multiple Regression'!K152</f>
        <v>727689.50254552439</v>
      </c>
      <c r="D123">
        <f>'Multiple Regression'!L152</f>
        <v>7790.6874544755556</v>
      </c>
      <c r="E123" t="str">
        <f>'Cleaned Data'!A121</f>
        <v>STR-1030</v>
      </c>
      <c r="F123" t="str">
        <f>'Cleaned Data'!C121</f>
        <v>West</v>
      </c>
      <c r="G123" t="str">
        <f>'Cleaned Data'!D121</f>
        <v>Residential</v>
      </c>
    </row>
    <row r="124" spans="1:7">
      <c r="A124">
        <v>121</v>
      </c>
      <c r="B124">
        <f>'Cleaned Data'!M122</f>
        <v>509484.81</v>
      </c>
      <c r="C124">
        <f>'Multiple Regression'!K153</f>
        <v>576436.08383956051</v>
      </c>
      <c r="D124">
        <f>'Multiple Regression'!L153</f>
        <v>-66951.273839560512</v>
      </c>
      <c r="E124" t="str">
        <f>'Cleaned Data'!A122</f>
        <v>STR-1031</v>
      </c>
      <c r="F124" t="str">
        <f>'Cleaned Data'!C122</f>
        <v>North</v>
      </c>
      <c r="G124" t="str">
        <f>'Cleaned Data'!D122</f>
        <v>High Street</v>
      </c>
    </row>
    <row r="125" spans="1:7">
      <c r="A125">
        <v>122</v>
      </c>
      <c r="B125">
        <f>'Cleaned Data'!M123</f>
        <v>654317.09</v>
      </c>
      <c r="C125">
        <f>'Multiple Regression'!K154</f>
        <v>618593.35496560601</v>
      </c>
      <c r="D125">
        <f>'Multiple Regression'!L154</f>
        <v>35723.735034393962</v>
      </c>
      <c r="E125" t="str">
        <f>'Cleaned Data'!A123</f>
        <v>STR-1031</v>
      </c>
      <c r="F125" t="str">
        <f>'Cleaned Data'!C123</f>
        <v>North</v>
      </c>
      <c r="G125" t="str">
        <f>'Cleaned Data'!D123</f>
        <v>High Street</v>
      </c>
    </row>
    <row r="126" spans="1:7">
      <c r="A126">
        <v>123</v>
      </c>
      <c r="B126">
        <f>'Cleaned Data'!M124</f>
        <v>557487.26</v>
      </c>
      <c r="C126">
        <f>'Multiple Regression'!K155</f>
        <v>602872.07153138204</v>
      </c>
      <c r="D126">
        <f>'Multiple Regression'!L155</f>
        <v>-45384.811531382031</v>
      </c>
      <c r="E126" t="str">
        <f>'Cleaned Data'!A124</f>
        <v>STR-1031</v>
      </c>
      <c r="F126" t="str">
        <f>'Cleaned Data'!C124</f>
        <v>North</v>
      </c>
      <c r="G126" t="str">
        <f>'Cleaned Data'!D124</f>
        <v>High Street</v>
      </c>
    </row>
    <row r="127" spans="1:7">
      <c r="A127">
        <v>124</v>
      </c>
      <c r="B127">
        <f>'Cleaned Data'!M125</f>
        <v>441275.42</v>
      </c>
      <c r="C127">
        <f>'Multiple Regression'!K156</f>
        <v>484230.2525480052</v>
      </c>
      <c r="D127">
        <f>'Multiple Regression'!L156</f>
        <v>-42954.832548005215</v>
      </c>
      <c r="E127" t="str">
        <f>'Cleaned Data'!A125</f>
        <v>STR-1031</v>
      </c>
      <c r="F127" t="str">
        <f>'Cleaned Data'!C125</f>
        <v>North</v>
      </c>
      <c r="G127" t="str">
        <f>'Cleaned Data'!D125</f>
        <v>High Street</v>
      </c>
    </row>
    <row r="128" spans="1:7">
      <c r="A128">
        <v>125</v>
      </c>
      <c r="B128">
        <f>'Cleaned Data'!M126</f>
        <v>914544.17</v>
      </c>
      <c r="C128">
        <f>'Multiple Regression'!K157</f>
        <v>839775.18839232193</v>
      </c>
      <c r="D128">
        <f>'Multiple Regression'!L157</f>
        <v>74768.981607678114</v>
      </c>
      <c r="E128" t="str">
        <f>'Cleaned Data'!A126</f>
        <v>STR-1032</v>
      </c>
      <c r="F128" t="str">
        <f>'Cleaned Data'!C126</f>
        <v>South</v>
      </c>
      <c r="G128" t="str">
        <f>'Cleaned Data'!D126</f>
        <v>High Street</v>
      </c>
    </row>
    <row r="129" spans="1:7">
      <c r="A129">
        <v>126</v>
      </c>
      <c r="B129">
        <f>'Cleaned Data'!M127</f>
        <v>842439.67</v>
      </c>
      <c r="C129">
        <f>'Multiple Regression'!K158</f>
        <v>832967.18936928222</v>
      </c>
      <c r="D129">
        <f>'Multiple Regression'!L158</f>
        <v>9472.4806307178224</v>
      </c>
      <c r="E129" t="str">
        <f>'Cleaned Data'!A127</f>
        <v>STR-1032</v>
      </c>
      <c r="F129" t="str">
        <f>'Cleaned Data'!C127</f>
        <v>South</v>
      </c>
      <c r="G129" t="str">
        <f>'Cleaned Data'!D127</f>
        <v>High Street</v>
      </c>
    </row>
    <row r="130" spans="1:7">
      <c r="A130">
        <v>127</v>
      </c>
      <c r="B130">
        <f>'Cleaned Data'!M128</f>
        <v>842157.92</v>
      </c>
      <c r="C130">
        <f>'Multiple Regression'!K159</f>
        <v>798431.32850044372</v>
      </c>
      <c r="D130">
        <f>'Multiple Regression'!L159</f>
        <v>43726.591499556322</v>
      </c>
      <c r="E130" t="str">
        <f>'Cleaned Data'!A128</f>
        <v>STR-1032</v>
      </c>
      <c r="F130" t="str">
        <f>'Cleaned Data'!C128</f>
        <v>South</v>
      </c>
      <c r="G130" t="str">
        <f>'Cleaned Data'!D128</f>
        <v>High Street</v>
      </c>
    </row>
    <row r="131" spans="1:7">
      <c r="A131">
        <v>128</v>
      </c>
      <c r="B131">
        <f>'Cleaned Data'!M129</f>
        <v>697155.3</v>
      </c>
      <c r="C131">
        <f>'Multiple Regression'!K160</f>
        <v>722974.5207001603</v>
      </c>
      <c r="D131">
        <f>'Multiple Regression'!L160</f>
        <v>-25819.220700160251</v>
      </c>
      <c r="E131" t="str">
        <f>'Cleaned Data'!A129</f>
        <v>STR-1032</v>
      </c>
      <c r="F131" t="str">
        <f>'Cleaned Data'!C129</f>
        <v>South</v>
      </c>
      <c r="G131" t="str">
        <f>'Cleaned Data'!D129</f>
        <v>High Street</v>
      </c>
    </row>
    <row r="132" spans="1:7">
      <c r="A132">
        <v>129</v>
      </c>
      <c r="B132">
        <f>'Cleaned Data'!M130</f>
        <v>849018.3</v>
      </c>
      <c r="C132">
        <f>'Multiple Regression'!K161</f>
        <v>831786.35459032538</v>
      </c>
      <c r="D132">
        <f>'Multiple Regression'!L161</f>
        <v>17231.945409674663</v>
      </c>
      <c r="E132" t="str">
        <f>'Cleaned Data'!A130</f>
        <v>STR-1033</v>
      </c>
      <c r="F132" t="str">
        <f>'Cleaned Data'!C130</f>
        <v>East</v>
      </c>
      <c r="G132" t="str">
        <f>'Cleaned Data'!D130</f>
        <v>High Street</v>
      </c>
    </row>
    <row r="133" spans="1:7">
      <c r="A133">
        <v>130</v>
      </c>
      <c r="B133">
        <f>'Cleaned Data'!M131</f>
        <v>801830.35</v>
      </c>
      <c r="C133">
        <f>'Multiple Regression'!K162</f>
        <v>816719.82079966052</v>
      </c>
      <c r="D133">
        <f>'Multiple Regression'!L162</f>
        <v>-14889.470799660543</v>
      </c>
      <c r="E133" t="str">
        <f>'Cleaned Data'!A131</f>
        <v>STR-1033</v>
      </c>
      <c r="F133" t="str">
        <f>'Cleaned Data'!C131</f>
        <v>East</v>
      </c>
      <c r="G133" t="str">
        <f>'Cleaned Data'!D131</f>
        <v>High Street</v>
      </c>
    </row>
    <row r="134" spans="1:7">
      <c r="A134">
        <v>131</v>
      </c>
      <c r="B134">
        <f>'Cleaned Data'!M132</f>
        <v>725235.28</v>
      </c>
      <c r="C134">
        <f>'Multiple Regression'!K163</f>
        <v>766399.47981360264</v>
      </c>
      <c r="D134">
        <f>'Multiple Regression'!L163</f>
        <v>-41164.199813602609</v>
      </c>
      <c r="E134" t="str">
        <f>'Cleaned Data'!A132</f>
        <v>STR-1033</v>
      </c>
      <c r="F134" t="str">
        <f>'Cleaned Data'!C132</f>
        <v>East</v>
      </c>
      <c r="G134" t="str">
        <f>'Cleaned Data'!D132</f>
        <v>High Street</v>
      </c>
    </row>
    <row r="135" spans="1:7">
      <c r="A135">
        <v>132</v>
      </c>
      <c r="B135">
        <f>'Cleaned Data'!M133</f>
        <v>811452.72</v>
      </c>
      <c r="C135">
        <f>'Multiple Regression'!K164</f>
        <v>821528.83813557192</v>
      </c>
      <c r="D135">
        <f>'Multiple Regression'!L164</f>
        <v>-10076.118135571945</v>
      </c>
      <c r="E135" t="str">
        <f>'Cleaned Data'!A133</f>
        <v>STR-1033</v>
      </c>
      <c r="F135" t="str">
        <f>'Cleaned Data'!C133</f>
        <v>East</v>
      </c>
      <c r="G135" t="str">
        <f>'Cleaned Data'!D133</f>
        <v>High Street</v>
      </c>
    </row>
    <row r="136" spans="1:7">
      <c r="A136">
        <v>133</v>
      </c>
      <c r="B136">
        <f>'Cleaned Data'!M134</f>
        <v>527300.13</v>
      </c>
      <c r="C136">
        <f>'Multiple Regression'!K165</f>
        <v>573455.08445010963</v>
      </c>
      <c r="D136">
        <f>'Multiple Regression'!L165</f>
        <v>-46154.954450109624</v>
      </c>
      <c r="E136" t="str">
        <f>'Cleaned Data'!A134</f>
        <v>STR-1034</v>
      </c>
      <c r="F136" t="str">
        <f>'Cleaned Data'!C134</f>
        <v>North</v>
      </c>
      <c r="G136" t="str">
        <f>'Cleaned Data'!D134</f>
        <v>High Street</v>
      </c>
    </row>
    <row r="137" spans="1:7">
      <c r="A137">
        <v>134</v>
      </c>
      <c r="B137">
        <f>'Cleaned Data'!M135</f>
        <v>400831.65</v>
      </c>
      <c r="C137">
        <f>'Multiple Regression'!K166</f>
        <v>480334.86918091774</v>
      </c>
      <c r="D137">
        <f>'Multiple Regression'!L166</f>
        <v>-79503.219180917717</v>
      </c>
      <c r="E137" t="str">
        <f>'Cleaned Data'!A135</f>
        <v>STR-1034</v>
      </c>
      <c r="F137" t="str">
        <f>'Cleaned Data'!C135</f>
        <v>North</v>
      </c>
      <c r="G137" t="str">
        <f>'Cleaned Data'!D135</f>
        <v>High Street</v>
      </c>
    </row>
    <row r="138" spans="1:7">
      <c r="A138">
        <v>135</v>
      </c>
      <c r="B138">
        <f>'Cleaned Data'!M136</f>
        <v>593247.25</v>
      </c>
      <c r="C138">
        <f>'Multiple Regression'!K167</f>
        <v>586726.88297353184</v>
      </c>
      <c r="D138">
        <f>'Multiple Regression'!L167</f>
        <v>6520.3670264681568</v>
      </c>
      <c r="E138" t="str">
        <f>'Cleaned Data'!A136</f>
        <v>STR-1034</v>
      </c>
      <c r="F138" t="str">
        <f>'Cleaned Data'!C136</f>
        <v>North</v>
      </c>
      <c r="G138" t="str">
        <f>'Cleaned Data'!D136</f>
        <v>High Street</v>
      </c>
    </row>
    <row r="139" spans="1:7">
      <c r="A139">
        <v>136</v>
      </c>
      <c r="B139">
        <f>'Cleaned Data'!M137</f>
        <v>529075.94999999995</v>
      </c>
      <c r="C139">
        <f>'Multiple Regression'!K168</f>
        <v>539605.28677573195</v>
      </c>
      <c r="D139">
        <f>'Multiple Regression'!L168</f>
        <v>-10529.336775731994</v>
      </c>
      <c r="E139" t="str">
        <f>'Cleaned Data'!A137</f>
        <v>STR-1034</v>
      </c>
      <c r="F139" t="str">
        <f>'Cleaned Data'!C137</f>
        <v>North</v>
      </c>
      <c r="G139" t="str">
        <f>'Cleaned Data'!D137</f>
        <v>High Street</v>
      </c>
    </row>
    <row r="140" spans="1:7">
      <c r="A140">
        <v>137</v>
      </c>
      <c r="B140">
        <f>'Cleaned Data'!M138</f>
        <v>633638.03</v>
      </c>
      <c r="C140">
        <f>'Multiple Regression'!K169</f>
        <v>753603.83252598881</v>
      </c>
      <c r="D140">
        <f>'Multiple Regression'!L169</f>
        <v>-119965.80252598878</v>
      </c>
      <c r="E140" t="str">
        <f>'Cleaned Data'!A138</f>
        <v>STR-1035</v>
      </c>
      <c r="F140" t="str">
        <f>'Cleaned Data'!C138</f>
        <v>South</v>
      </c>
      <c r="G140" t="str">
        <f>'Cleaned Data'!D138</f>
        <v>Residential</v>
      </c>
    </row>
    <row r="141" spans="1:7">
      <c r="A141">
        <v>138</v>
      </c>
      <c r="B141">
        <f>'Cleaned Data'!M139</f>
        <v>743348.84</v>
      </c>
      <c r="C141">
        <f>'Multiple Regression'!K170</f>
        <v>698194.6878935938</v>
      </c>
      <c r="D141">
        <f>'Multiple Regression'!L170</f>
        <v>45154.152106406167</v>
      </c>
      <c r="E141" t="str">
        <f>'Cleaned Data'!A139</f>
        <v>STR-1035</v>
      </c>
      <c r="F141" t="str">
        <f>'Cleaned Data'!C139</f>
        <v>South</v>
      </c>
      <c r="G141" t="str">
        <f>'Cleaned Data'!D139</f>
        <v>Residential</v>
      </c>
    </row>
    <row r="142" spans="1:7">
      <c r="A142">
        <v>139</v>
      </c>
      <c r="B142">
        <f>'Cleaned Data'!M140</f>
        <v>758827.64</v>
      </c>
      <c r="C142">
        <f>'Multiple Regression'!K171</f>
        <v>720112.02459102892</v>
      </c>
      <c r="D142">
        <f>'Multiple Regression'!L171</f>
        <v>38715.615408971091</v>
      </c>
      <c r="E142" t="str">
        <f>'Cleaned Data'!A140</f>
        <v>STR-1035</v>
      </c>
      <c r="F142" t="str">
        <f>'Cleaned Data'!C140</f>
        <v>South</v>
      </c>
      <c r="G142" t="str">
        <f>'Cleaned Data'!D140</f>
        <v>Residential</v>
      </c>
    </row>
    <row r="143" spans="1:7">
      <c r="A143">
        <v>140</v>
      </c>
      <c r="B143">
        <f>'Cleaned Data'!M141</f>
        <v>646559.71</v>
      </c>
      <c r="C143">
        <f>'Multiple Regression'!K172</f>
        <v>633314.79651779204</v>
      </c>
      <c r="D143">
        <f>'Multiple Regression'!L172</f>
        <v>13244.913482207921</v>
      </c>
      <c r="E143" t="str">
        <f>'Cleaned Data'!A141</f>
        <v>STR-1035</v>
      </c>
      <c r="F143" t="str">
        <f>'Cleaned Data'!C141</f>
        <v>South</v>
      </c>
      <c r="G143" t="str">
        <f>'Cleaned Data'!D141</f>
        <v>Residential</v>
      </c>
    </row>
    <row r="144" spans="1:7">
      <c r="A144">
        <v>141</v>
      </c>
      <c r="B144">
        <f>'Cleaned Data'!M142</f>
        <v>715890.53</v>
      </c>
      <c r="C144">
        <f>'Multiple Regression'!K173</f>
        <v>671421.01063771255</v>
      </c>
      <c r="D144">
        <f>'Multiple Regression'!L173</f>
        <v>44469.519362287479</v>
      </c>
      <c r="E144" t="str">
        <f>'Cleaned Data'!A142</f>
        <v>STR-1036</v>
      </c>
      <c r="F144" t="str">
        <f>'Cleaned Data'!C142</f>
        <v>West</v>
      </c>
      <c r="G144" t="str">
        <f>'Cleaned Data'!D142</f>
        <v>High Street</v>
      </c>
    </row>
    <row r="145" spans="1:7">
      <c r="A145">
        <v>142</v>
      </c>
      <c r="B145">
        <f>'Cleaned Data'!M143</f>
        <v>715097.57</v>
      </c>
      <c r="C145">
        <f>'Multiple Regression'!K174</f>
        <v>675339.48079611454</v>
      </c>
      <c r="D145">
        <f>'Multiple Regression'!L174</f>
        <v>39758.089203885407</v>
      </c>
      <c r="E145" t="str">
        <f>'Cleaned Data'!A143</f>
        <v>STR-1036</v>
      </c>
      <c r="F145" t="str">
        <f>'Cleaned Data'!C143</f>
        <v>West</v>
      </c>
      <c r="G145" t="str">
        <f>'Cleaned Data'!D143</f>
        <v>High Street</v>
      </c>
    </row>
    <row r="146" spans="1:7">
      <c r="A146">
        <v>143</v>
      </c>
      <c r="B146">
        <f>'Cleaned Data'!M144</f>
        <v>682639.28</v>
      </c>
      <c r="C146">
        <f>'Multiple Regression'!K175</f>
        <v>649340.88700559514</v>
      </c>
      <c r="D146">
        <f>'Multiple Regression'!L175</f>
        <v>33298.392994404887</v>
      </c>
      <c r="E146" t="str">
        <f>'Cleaned Data'!A144</f>
        <v>STR-1036</v>
      </c>
      <c r="F146" t="str">
        <f>'Cleaned Data'!C144</f>
        <v>West</v>
      </c>
      <c r="G146" t="str">
        <f>'Cleaned Data'!D144</f>
        <v>High Street</v>
      </c>
    </row>
    <row r="147" spans="1:7">
      <c r="A147">
        <v>144</v>
      </c>
      <c r="B147">
        <f>'Cleaned Data'!M145</f>
        <v>695098.51</v>
      </c>
      <c r="C147">
        <f>'Multiple Regression'!K176</f>
        <v>671666.53419543337</v>
      </c>
      <c r="D147">
        <f>'Multiple Regression'!L176</f>
        <v>23431.975804566639</v>
      </c>
      <c r="E147" t="str">
        <f>'Cleaned Data'!A145</f>
        <v>STR-1036</v>
      </c>
      <c r="F147" t="str">
        <f>'Cleaned Data'!C145</f>
        <v>West</v>
      </c>
      <c r="G147" t="str">
        <f>'Cleaned Data'!D145</f>
        <v>High Street</v>
      </c>
    </row>
    <row r="148" spans="1:7">
      <c r="A148">
        <v>145</v>
      </c>
      <c r="B148">
        <f>'Cleaned Data'!M146</f>
        <v>577732.56999999995</v>
      </c>
      <c r="C148">
        <f>'Multiple Regression'!K177</f>
        <v>617805.90622479701</v>
      </c>
      <c r="D148">
        <f>'Multiple Regression'!L177</f>
        <v>-40073.336224797065</v>
      </c>
      <c r="E148" t="str">
        <f>'Cleaned Data'!A146</f>
        <v>STR-1037</v>
      </c>
      <c r="F148" t="str">
        <f>'Cleaned Data'!C146</f>
        <v>North</v>
      </c>
      <c r="G148" t="str">
        <f>'Cleaned Data'!D146</f>
        <v>Residential</v>
      </c>
    </row>
    <row r="149" spans="1:7">
      <c r="A149">
        <v>146</v>
      </c>
      <c r="B149">
        <f>'Cleaned Data'!M147</f>
        <v>537058.32999999996</v>
      </c>
      <c r="C149">
        <f>'Multiple Regression'!K178</f>
        <v>563870.54379926657</v>
      </c>
      <c r="D149">
        <f>'Multiple Regression'!L178</f>
        <v>-26812.21379926661</v>
      </c>
      <c r="E149" t="str">
        <f>'Cleaned Data'!A147</f>
        <v>STR-1037</v>
      </c>
      <c r="F149" t="str">
        <f>'Cleaned Data'!C147</f>
        <v>North</v>
      </c>
      <c r="G149" t="str">
        <f>'Cleaned Data'!D147</f>
        <v>Residential</v>
      </c>
    </row>
    <row r="150" spans="1:7">
      <c r="A150">
        <v>147</v>
      </c>
      <c r="B150">
        <f>'Cleaned Data'!M148</f>
        <v>601568.87</v>
      </c>
      <c r="C150">
        <f>'Multiple Regression'!K179</f>
        <v>603700.85489723692</v>
      </c>
      <c r="D150">
        <f>'Multiple Regression'!L179</f>
        <v>-2131.9848972369218</v>
      </c>
      <c r="E150" t="str">
        <f>'Cleaned Data'!A148</f>
        <v>STR-1037</v>
      </c>
      <c r="F150" t="str">
        <f>'Cleaned Data'!C148</f>
        <v>North</v>
      </c>
      <c r="G150" t="str">
        <f>'Cleaned Data'!D148</f>
        <v>Residential</v>
      </c>
    </row>
    <row r="151" spans="1:7">
      <c r="A151">
        <v>148</v>
      </c>
      <c r="B151">
        <f>'Cleaned Data'!M149</f>
        <v>570964.84</v>
      </c>
      <c r="C151">
        <f>'Multiple Regression'!K180</f>
        <v>578063.27601990977</v>
      </c>
      <c r="D151">
        <f>'Multiple Regression'!L180</f>
        <v>-7098.436019909801</v>
      </c>
      <c r="E151" t="str">
        <f>'Cleaned Data'!A149</f>
        <v>STR-1037</v>
      </c>
      <c r="F151" t="str">
        <f>'Cleaned Data'!C149</f>
        <v>North</v>
      </c>
      <c r="G151" t="str">
        <f>'Cleaned Data'!D149</f>
        <v>Residential</v>
      </c>
    </row>
    <row r="152" spans="1:7">
      <c r="A152">
        <v>149</v>
      </c>
      <c r="B152">
        <f>'Cleaned Data'!M150</f>
        <v>614024.91</v>
      </c>
      <c r="C152">
        <f>'Multiple Regression'!K181</f>
        <v>649251.06756063423</v>
      </c>
      <c r="D152">
        <f>'Multiple Regression'!L181</f>
        <v>-35226.157560634194</v>
      </c>
      <c r="E152" t="str">
        <f>'Cleaned Data'!A150</f>
        <v>STR-1038</v>
      </c>
      <c r="F152" t="str">
        <f>'Cleaned Data'!C150</f>
        <v>South</v>
      </c>
      <c r="G152" t="str">
        <f>'Cleaned Data'!D150</f>
        <v>Mall</v>
      </c>
    </row>
    <row r="153" spans="1:7">
      <c r="A153">
        <v>150</v>
      </c>
      <c r="B153">
        <f>'Cleaned Data'!M151</f>
        <v>712868.35</v>
      </c>
      <c r="C153">
        <f>'Multiple Regression'!K182</f>
        <v>666429.15847765538</v>
      </c>
      <c r="D153">
        <f>'Multiple Regression'!L182</f>
        <v>46439.191522344598</v>
      </c>
      <c r="E153" t="str">
        <f>'Cleaned Data'!A151</f>
        <v>STR-1038</v>
      </c>
      <c r="F153" t="str">
        <f>'Cleaned Data'!C151</f>
        <v>South</v>
      </c>
      <c r="G153" t="str">
        <f>'Cleaned Data'!D151</f>
        <v>Mall</v>
      </c>
    </row>
    <row r="154" spans="1:7">
      <c r="A154">
        <v>151</v>
      </c>
      <c r="B154">
        <f>'Cleaned Data'!M152</f>
        <v>696744.15</v>
      </c>
      <c r="C154">
        <f>'Multiple Regression'!K183</f>
        <v>651339.46808129933</v>
      </c>
      <c r="D154">
        <f>'Multiple Regression'!L183</f>
        <v>45404.681918700691</v>
      </c>
      <c r="E154" t="str">
        <f>'Cleaned Data'!A152</f>
        <v>STR-1038</v>
      </c>
      <c r="F154" t="str">
        <f>'Cleaned Data'!C152</f>
        <v>South</v>
      </c>
      <c r="G154" t="str">
        <f>'Cleaned Data'!D152</f>
        <v>Mall</v>
      </c>
    </row>
    <row r="155" spans="1:7">
      <c r="A155">
        <v>152</v>
      </c>
      <c r="B155">
        <f>'Cleaned Data'!M153</f>
        <v>725847.99</v>
      </c>
      <c r="C155">
        <f>'Multiple Regression'!K184</f>
        <v>684738.15392701572</v>
      </c>
      <c r="D155">
        <f>'Multiple Regression'!L184</f>
        <v>41109.836072984268</v>
      </c>
      <c r="E155" t="str">
        <f>'Cleaned Data'!A153</f>
        <v>STR-1038</v>
      </c>
      <c r="F155" t="str">
        <f>'Cleaned Data'!C153</f>
        <v>South</v>
      </c>
      <c r="G155" t="str">
        <f>'Cleaned Data'!D153</f>
        <v>Mall</v>
      </c>
    </row>
    <row r="156" spans="1:7">
      <c r="A156">
        <v>153</v>
      </c>
      <c r="B156">
        <f>'Cleaned Data'!M154</f>
        <v>785028.25</v>
      </c>
      <c r="C156">
        <f>'Multiple Regression'!K185</f>
        <v>788691.15861993213</v>
      </c>
      <c r="D156">
        <f>'Multiple Regression'!L185</f>
        <v>-3662.9086199321318</v>
      </c>
      <c r="E156" t="str">
        <f>'Cleaned Data'!A154</f>
        <v>STR-1039</v>
      </c>
      <c r="F156" t="str">
        <f>'Cleaned Data'!C154</f>
        <v>East</v>
      </c>
      <c r="G156" t="str">
        <f>'Cleaned Data'!D154</f>
        <v>High Street</v>
      </c>
    </row>
    <row r="157" spans="1:7">
      <c r="A157">
        <v>154</v>
      </c>
      <c r="B157">
        <f>'Cleaned Data'!M155</f>
        <v>698492.67</v>
      </c>
      <c r="C157">
        <f>'Multiple Regression'!K186</f>
        <v>682985.65183402528</v>
      </c>
      <c r="D157">
        <f>'Multiple Regression'!L186</f>
        <v>15507.018165974761</v>
      </c>
      <c r="E157" t="str">
        <f>'Cleaned Data'!A155</f>
        <v>STR-1039</v>
      </c>
      <c r="F157" t="str">
        <f>'Cleaned Data'!C155</f>
        <v>East</v>
      </c>
      <c r="G157" t="str">
        <f>'Cleaned Data'!D155</f>
        <v>High Street</v>
      </c>
    </row>
    <row r="158" spans="1:7">
      <c r="A158">
        <v>155</v>
      </c>
      <c r="B158">
        <f>'Cleaned Data'!M156</f>
        <v>685830.24</v>
      </c>
      <c r="C158">
        <f>'Multiple Regression'!K187</f>
        <v>704467.86416561762</v>
      </c>
      <c r="D158">
        <f>'Multiple Regression'!L187</f>
        <v>-18637.624165617628</v>
      </c>
      <c r="E158" t="str">
        <f>'Cleaned Data'!A156</f>
        <v>STR-1039</v>
      </c>
      <c r="F158" t="str">
        <f>'Cleaned Data'!C156</f>
        <v>East</v>
      </c>
      <c r="G158" t="str">
        <f>'Cleaned Data'!D156</f>
        <v>High Street</v>
      </c>
    </row>
    <row r="159" spans="1:7">
      <c r="A159">
        <v>156</v>
      </c>
      <c r="B159">
        <f>'Cleaned Data'!M157</f>
        <v>702318.94</v>
      </c>
      <c r="C159">
        <f>'Multiple Regression'!K188</f>
        <v>688574.04205880896</v>
      </c>
      <c r="D159">
        <f>'Multiple Regression'!L188</f>
        <v>13744.897941190982</v>
      </c>
      <c r="E159" t="str">
        <f>'Cleaned Data'!A157</f>
        <v>STR-1039</v>
      </c>
      <c r="F159" t="str">
        <f>'Cleaned Data'!C157</f>
        <v>East</v>
      </c>
      <c r="G159" t="str">
        <f>'Cleaned Data'!D157</f>
        <v>High Street</v>
      </c>
    </row>
    <row r="160" spans="1:7">
      <c r="A160">
        <v>157</v>
      </c>
      <c r="B160">
        <f>'Cleaned Data'!M158</f>
        <v>700078.32</v>
      </c>
      <c r="C160">
        <f>'Multiple Regression'!K189</f>
        <v>714493.23267576331</v>
      </c>
      <c r="D160">
        <f>'Multiple Regression'!L189</f>
        <v>-14414.912675763364</v>
      </c>
      <c r="E160" t="str">
        <f>'Cleaned Data'!A158</f>
        <v>STR-1040</v>
      </c>
      <c r="F160" t="str">
        <f>'Cleaned Data'!C158</f>
        <v>North</v>
      </c>
      <c r="G160" t="str">
        <f>'Cleaned Data'!D158</f>
        <v>Mall</v>
      </c>
    </row>
    <row r="161" spans="1:7">
      <c r="A161">
        <v>158</v>
      </c>
      <c r="B161">
        <f>'Cleaned Data'!M159</f>
        <v>602002.31999999995</v>
      </c>
      <c r="C161">
        <f>'Multiple Regression'!K190</f>
        <v>614830.3985365699</v>
      </c>
      <c r="D161">
        <f>'Multiple Regression'!L190</f>
        <v>-12828.078536569956</v>
      </c>
      <c r="E161" t="str">
        <f>'Cleaned Data'!A159</f>
        <v>STR-1040</v>
      </c>
      <c r="F161" t="str">
        <f>'Cleaned Data'!C159</f>
        <v>North</v>
      </c>
      <c r="G161" t="str">
        <f>'Cleaned Data'!D159</f>
        <v>Mall</v>
      </c>
    </row>
    <row r="162" spans="1:7">
      <c r="A162">
        <v>159</v>
      </c>
      <c r="B162">
        <f>'Cleaned Data'!M160</f>
        <v>724216.07</v>
      </c>
      <c r="C162">
        <f>'Multiple Regression'!K191</f>
        <v>695432.75441220531</v>
      </c>
      <c r="D162">
        <f>'Multiple Regression'!L191</f>
        <v>28783.315587794641</v>
      </c>
      <c r="E162" t="str">
        <f>'Cleaned Data'!A160</f>
        <v>STR-1040</v>
      </c>
      <c r="F162" t="str">
        <f>'Cleaned Data'!C160</f>
        <v>North</v>
      </c>
      <c r="G162" t="str">
        <f>'Cleaned Data'!D160</f>
        <v>Mall</v>
      </c>
    </row>
    <row r="163" spans="1:7">
      <c r="A163">
        <v>160</v>
      </c>
      <c r="B163">
        <f>'Cleaned Data'!M161</f>
        <v>620973.03</v>
      </c>
      <c r="C163">
        <f>'Multiple Regression'!K192</f>
        <v>550483.81138141686</v>
      </c>
      <c r="D163">
        <f>'Multiple Regression'!L192</f>
        <v>70489.218618583167</v>
      </c>
      <c r="E163" t="str">
        <f>'Cleaned Data'!A161</f>
        <v>STR-1040</v>
      </c>
      <c r="F163" t="str">
        <f>'Cleaned Data'!C161</f>
        <v>North</v>
      </c>
      <c r="G163" t="str">
        <f>'Cleaned Data'!D161</f>
        <v>Mall</v>
      </c>
    </row>
    <row r="164" spans="1:7">
      <c r="A164">
        <v>161</v>
      </c>
      <c r="B164">
        <f>'Cleaned Data'!M162</f>
        <v>650480.06000000006</v>
      </c>
      <c r="C164">
        <f>'Multiple Regression'!K193</f>
        <v>697711.61109360831</v>
      </c>
      <c r="D164">
        <f>'Multiple Regression'!L193</f>
        <v>-47231.551093608257</v>
      </c>
      <c r="E164" t="str">
        <f>'Cleaned Data'!A162</f>
        <v>STR-1041</v>
      </c>
      <c r="F164" t="str">
        <f>'Cleaned Data'!C162</f>
        <v>South</v>
      </c>
      <c r="G164" t="str">
        <f>'Cleaned Data'!D162</f>
        <v>High Street</v>
      </c>
    </row>
    <row r="165" spans="1:7">
      <c r="A165">
        <v>162</v>
      </c>
      <c r="B165">
        <f>'Cleaned Data'!M163</f>
        <v>778298.88</v>
      </c>
      <c r="C165">
        <f>'Multiple Regression'!K194</f>
        <v>701338.58002244297</v>
      </c>
      <c r="D165">
        <f>'Multiple Regression'!L194</f>
        <v>76960.299977557035</v>
      </c>
      <c r="E165" t="str">
        <f>'Cleaned Data'!A163</f>
        <v>STR-1041</v>
      </c>
      <c r="F165" t="str">
        <f>'Cleaned Data'!C163</f>
        <v>South</v>
      </c>
      <c r="G165" t="str">
        <f>'Cleaned Data'!D163</f>
        <v>High Street</v>
      </c>
    </row>
    <row r="166" spans="1:7">
      <c r="A166">
        <v>163</v>
      </c>
      <c r="B166">
        <f>'Cleaned Data'!M164</f>
        <v>677096.71</v>
      </c>
      <c r="C166">
        <f>'Multiple Regression'!K195</f>
        <v>734951.33840805071</v>
      </c>
      <c r="D166">
        <f>'Multiple Regression'!L195</f>
        <v>-57854.628408050747</v>
      </c>
      <c r="E166" t="str">
        <f>'Cleaned Data'!A164</f>
        <v>STR-1041</v>
      </c>
      <c r="F166" t="str">
        <f>'Cleaned Data'!C164</f>
        <v>South</v>
      </c>
      <c r="G166" t="str">
        <f>'Cleaned Data'!D164</f>
        <v>High Street</v>
      </c>
    </row>
    <row r="167" spans="1:7">
      <c r="A167">
        <v>164</v>
      </c>
      <c r="B167">
        <f>'Cleaned Data'!M165</f>
        <v>692008.64</v>
      </c>
      <c r="C167">
        <f>'Multiple Regression'!K196</f>
        <v>692530.03663527092</v>
      </c>
      <c r="D167">
        <f>'Multiple Regression'!L196</f>
        <v>-521.39663527091034</v>
      </c>
      <c r="E167" t="str">
        <f>'Cleaned Data'!A165</f>
        <v>STR-1041</v>
      </c>
      <c r="F167" t="str">
        <f>'Cleaned Data'!C165</f>
        <v>South</v>
      </c>
      <c r="G167" t="str">
        <f>'Cleaned Data'!D165</f>
        <v>High Street</v>
      </c>
    </row>
    <row r="168" spans="1:7">
      <c r="A168">
        <v>165</v>
      </c>
      <c r="B168">
        <f>'Cleaned Data'!M166</f>
        <v>825797.91</v>
      </c>
      <c r="C168">
        <f>'Multiple Regression'!K197</f>
        <v>801869.44717434573</v>
      </c>
      <c r="D168">
        <f>'Multiple Regression'!L197</f>
        <v>23928.462825654307</v>
      </c>
      <c r="E168" t="str">
        <f>'Cleaned Data'!A166</f>
        <v>STR-1042</v>
      </c>
      <c r="F168" t="str">
        <f>'Cleaned Data'!C166</f>
        <v>North</v>
      </c>
      <c r="G168" t="str">
        <f>'Cleaned Data'!D166</f>
        <v>Mall</v>
      </c>
    </row>
    <row r="169" spans="1:7">
      <c r="A169">
        <v>166</v>
      </c>
      <c r="B169">
        <f>'Cleaned Data'!M167</f>
        <v>706285.52</v>
      </c>
      <c r="C169">
        <f>'Multiple Regression'!K198</f>
        <v>732075.3473449942</v>
      </c>
      <c r="D169">
        <f>'Multiple Regression'!L198</f>
        <v>-25789.827344994177</v>
      </c>
      <c r="E169" t="str">
        <f>'Cleaned Data'!A167</f>
        <v>STR-1042</v>
      </c>
      <c r="F169" t="str">
        <f>'Cleaned Data'!C167</f>
        <v>North</v>
      </c>
      <c r="G169" t="str">
        <f>'Cleaned Data'!D167</f>
        <v>Mall</v>
      </c>
    </row>
    <row r="170" spans="1:7">
      <c r="A170">
        <v>167</v>
      </c>
      <c r="B170">
        <f>'Cleaned Data'!M168</f>
        <v>665534.69999999995</v>
      </c>
      <c r="C170">
        <f>'Multiple Regression'!K199</f>
        <v>658327.23123793083</v>
      </c>
      <c r="D170">
        <f>'Multiple Regression'!L199</f>
        <v>7207.4687620691257</v>
      </c>
      <c r="E170" t="str">
        <f>'Cleaned Data'!A168</f>
        <v>STR-1042</v>
      </c>
      <c r="F170" t="str">
        <f>'Cleaned Data'!C168</f>
        <v>North</v>
      </c>
      <c r="G170" t="str">
        <f>'Cleaned Data'!D168</f>
        <v>Mall</v>
      </c>
    </row>
    <row r="171" spans="1:7">
      <c r="A171">
        <v>168</v>
      </c>
      <c r="B171">
        <f>'Cleaned Data'!M169</f>
        <v>820729.29</v>
      </c>
      <c r="C171">
        <f>'Multiple Regression'!K200</f>
        <v>802490.32824728941</v>
      </c>
      <c r="D171">
        <f>'Multiple Regression'!L200</f>
        <v>18238.961752710631</v>
      </c>
      <c r="E171" t="str">
        <f>'Cleaned Data'!A169</f>
        <v>STR-1042</v>
      </c>
      <c r="F171" t="str">
        <f>'Cleaned Data'!C169</f>
        <v>North</v>
      </c>
      <c r="G171" t="str">
        <f>'Cleaned Data'!D169</f>
        <v>Mall</v>
      </c>
    </row>
    <row r="172" spans="1:7">
      <c r="A172">
        <v>169</v>
      </c>
      <c r="B172">
        <f>'Cleaned Data'!M170</f>
        <v>739831.73</v>
      </c>
      <c r="C172">
        <f>'Multiple Regression'!K201</f>
        <v>773695.53118138388</v>
      </c>
      <c r="D172">
        <f>'Multiple Regression'!L201</f>
        <v>-33863.801181383897</v>
      </c>
      <c r="E172" t="str">
        <f>'Cleaned Data'!A170</f>
        <v>STR-1043</v>
      </c>
      <c r="F172" t="str">
        <f>'Cleaned Data'!C170</f>
        <v>East</v>
      </c>
      <c r="G172" t="str">
        <f>'Cleaned Data'!D170</f>
        <v>Residential</v>
      </c>
    </row>
    <row r="173" spans="1:7">
      <c r="A173">
        <v>170</v>
      </c>
      <c r="B173">
        <f>'Cleaned Data'!M171</f>
        <v>593637.14</v>
      </c>
      <c r="C173">
        <f>'Multiple Regression'!K202</f>
        <v>664692.95474882599</v>
      </c>
      <c r="D173">
        <f>'Multiple Regression'!L202</f>
        <v>-71055.814748825971</v>
      </c>
      <c r="E173" t="str">
        <f>'Cleaned Data'!A171</f>
        <v>STR-1043</v>
      </c>
      <c r="F173" t="str">
        <f>'Cleaned Data'!C171</f>
        <v>East</v>
      </c>
      <c r="G173" t="str">
        <f>'Cleaned Data'!D171</f>
        <v>Residential</v>
      </c>
    </row>
    <row r="174" spans="1:7">
      <c r="A174">
        <v>171</v>
      </c>
      <c r="B174">
        <f>'Cleaned Data'!M172</f>
        <v>769702.76</v>
      </c>
      <c r="C174">
        <f>'Multiple Regression'!K203</f>
        <v>739232.38891187345</v>
      </c>
      <c r="D174">
        <f>'Multiple Regression'!L203</f>
        <v>30470.371088126558</v>
      </c>
      <c r="E174" t="str">
        <f>'Cleaned Data'!A172</f>
        <v>STR-1043</v>
      </c>
      <c r="F174" t="str">
        <f>'Cleaned Data'!C172</f>
        <v>East</v>
      </c>
      <c r="G174" t="str">
        <f>'Cleaned Data'!D172</f>
        <v>Residential</v>
      </c>
    </row>
    <row r="175" spans="1:7">
      <c r="A175">
        <v>172</v>
      </c>
      <c r="B175">
        <f>'Cleaned Data'!M173</f>
        <v>679731.57</v>
      </c>
      <c r="C175">
        <f>'Multiple Regression'!K204</f>
        <v>678694.2496016603</v>
      </c>
      <c r="D175">
        <f>'Multiple Regression'!L204</f>
        <v>1037.3203983396525</v>
      </c>
      <c r="E175" t="str">
        <f>'Cleaned Data'!A173</f>
        <v>STR-1043</v>
      </c>
      <c r="F175" t="str">
        <f>'Cleaned Data'!C173</f>
        <v>East</v>
      </c>
      <c r="G175" t="str">
        <f>'Cleaned Data'!D173</f>
        <v>Residential</v>
      </c>
    </row>
    <row r="176" spans="1:7">
      <c r="A176">
        <v>173</v>
      </c>
      <c r="B176">
        <f>'Cleaned Data'!M174</f>
        <v>780344.18</v>
      </c>
      <c r="C176">
        <f>'Multiple Regression'!K205</f>
        <v>747213.60977052012</v>
      </c>
      <c r="D176">
        <f>'Multiple Regression'!L205</f>
        <v>33130.570229479927</v>
      </c>
      <c r="E176" t="str">
        <f>'Cleaned Data'!A174</f>
        <v>STR-1044</v>
      </c>
      <c r="F176" t="str">
        <f>'Cleaned Data'!C174</f>
        <v>East</v>
      </c>
      <c r="G176" t="str">
        <f>'Cleaned Data'!D174</f>
        <v>Residential</v>
      </c>
    </row>
    <row r="177" spans="1:7">
      <c r="A177">
        <v>174</v>
      </c>
      <c r="B177">
        <f>'Cleaned Data'!M175</f>
        <v>721364.11</v>
      </c>
      <c r="C177">
        <f>'Multiple Regression'!K206</f>
        <v>748938.3211254793</v>
      </c>
      <c r="D177">
        <f>'Multiple Regression'!L206</f>
        <v>-27574.211125479313</v>
      </c>
      <c r="E177" t="str">
        <f>'Cleaned Data'!A175</f>
        <v>STR-1044</v>
      </c>
      <c r="F177" t="str">
        <f>'Cleaned Data'!C175</f>
        <v>East</v>
      </c>
      <c r="G177" t="str">
        <f>'Cleaned Data'!D175</f>
        <v>Residential</v>
      </c>
    </row>
    <row r="178" spans="1:7">
      <c r="A178">
        <v>175</v>
      </c>
      <c r="B178">
        <f>'Cleaned Data'!M176</f>
        <v>758138.29</v>
      </c>
      <c r="C178">
        <f>'Multiple Regression'!K207</f>
        <v>782188.78686721507</v>
      </c>
      <c r="D178">
        <f>'Multiple Regression'!L207</f>
        <v>-24050.496867215028</v>
      </c>
      <c r="E178" t="str">
        <f>'Cleaned Data'!A176</f>
        <v>STR-1044</v>
      </c>
      <c r="F178" t="str">
        <f>'Cleaned Data'!C176</f>
        <v>East</v>
      </c>
      <c r="G178" t="str">
        <f>'Cleaned Data'!D176</f>
        <v>Residential</v>
      </c>
    </row>
    <row r="179" spans="1:7">
      <c r="A179">
        <v>176</v>
      </c>
      <c r="B179">
        <f>'Cleaned Data'!M177</f>
        <v>804264</v>
      </c>
      <c r="C179">
        <f>'Multiple Regression'!K208</f>
        <v>800314.56257638813</v>
      </c>
      <c r="D179">
        <f>'Multiple Regression'!L208</f>
        <v>3949.4374236118747</v>
      </c>
      <c r="E179" t="str">
        <f>'Cleaned Data'!A177</f>
        <v>STR-1044</v>
      </c>
      <c r="F179" t="str">
        <f>'Cleaned Data'!C177</f>
        <v>East</v>
      </c>
      <c r="G179" t="str">
        <f>'Cleaned Data'!D177</f>
        <v>Residential</v>
      </c>
    </row>
    <row r="180" spans="1:7">
      <c r="A180">
        <v>177</v>
      </c>
      <c r="B180">
        <f>'Cleaned Data'!M178</f>
        <v>887537.75</v>
      </c>
      <c r="C180">
        <f>'Multiple Regression'!K209</f>
        <v>898899.87500772392</v>
      </c>
      <c r="D180">
        <f>'Multiple Regression'!L209</f>
        <v>-11362.125007723924</v>
      </c>
      <c r="E180" t="str">
        <f>'Cleaned Data'!A178</f>
        <v>STR-1045</v>
      </c>
      <c r="F180" t="str">
        <f>'Cleaned Data'!C178</f>
        <v>West</v>
      </c>
      <c r="G180" t="str">
        <f>'Cleaned Data'!D178</f>
        <v>Airport</v>
      </c>
    </row>
    <row r="181" spans="1:7">
      <c r="A181">
        <v>178</v>
      </c>
      <c r="B181">
        <f>'Cleaned Data'!M179</f>
        <v>783582</v>
      </c>
      <c r="C181">
        <f>'Multiple Regression'!K210</f>
        <v>706422.28695040231</v>
      </c>
      <c r="D181">
        <f>'Multiple Regression'!L210</f>
        <v>77159.713049597689</v>
      </c>
      <c r="E181" t="str">
        <f>'Cleaned Data'!A179</f>
        <v>STR-1045</v>
      </c>
      <c r="F181" t="str">
        <f>'Cleaned Data'!C179</f>
        <v>West</v>
      </c>
      <c r="G181" t="str">
        <f>'Cleaned Data'!D179</f>
        <v>Airport</v>
      </c>
    </row>
    <row r="182" spans="1:7">
      <c r="A182">
        <v>179</v>
      </c>
      <c r="B182">
        <f>'Cleaned Data'!M180</f>
        <v>781955.52</v>
      </c>
      <c r="C182">
        <f>'Multiple Regression'!K211</f>
        <v>746780.92688153707</v>
      </c>
      <c r="D182">
        <f>'Multiple Regression'!L211</f>
        <v>35174.593118462944</v>
      </c>
      <c r="E182" t="str">
        <f>'Cleaned Data'!A180</f>
        <v>STR-1045</v>
      </c>
      <c r="F182" t="str">
        <f>'Cleaned Data'!C180</f>
        <v>West</v>
      </c>
      <c r="G182" t="str">
        <f>'Cleaned Data'!D180</f>
        <v>Airport</v>
      </c>
    </row>
    <row r="183" spans="1:7">
      <c r="A183">
        <v>180</v>
      </c>
      <c r="B183">
        <f>'Cleaned Data'!M181</f>
        <v>898031.04</v>
      </c>
      <c r="C183">
        <f>'Multiple Regression'!K212</f>
        <v>816596.67869847664</v>
      </c>
      <c r="D183">
        <f>'Multiple Regression'!L212</f>
        <v>81434.3613015234</v>
      </c>
      <c r="E183" t="str">
        <f>'Cleaned Data'!A181</f>
        <v>STR-1045</v>
      </c>
      <c r="F183" t="str">
        <f>'Cleaned Data'!C181</f>
        <v>West</v>
      </c>
      <c r="G183" t="str">
        <f>'Cleaned Data'!D181</f>
        <v>Airport</v>
      </c>
    </row>
    <row r="184" spans="1:7">
      <c r="A184">
        <v>181</v>
      </c>
      <c r="B184">
        <f>'Cleaned Data'!M182</f>
        <v>855341.28</v>
      </c>
      <c r="C184">
        <f>'Multiple Regression'!K213</f>
        <v>864669.60563825734</v>
      </c>
      <c r="D184">
        <f>'Multiple Regression'!L213</f>
        <v>-9328.3256382573163</v>
      </c>
      <c r="E184" t="str">
        <f>'Cleaned Data'!A182</f>
        <v>STR-1046</v>
      </c>
      <c r="F184" t="str">
        <f>'Cleaned Data'!C182</f>
        <v>West</v>
      </c>
      <c r="G184" t="str">
        <f>'Cleaned Data'!D182</f>
        <v>Residential</v>
      </c>
    </row>
    <row r="185" spans="1:7">
      <c r="A185">
        <v>182</v>
      </c>
      <c r="B185">
        <f>'Cleaned Data'!M183</f>
        <v>751393.88</v>
      </c>
      <c r="C185">
        <f>'Multiple Regression'!K214</f>
        <v>766622.30767884583</v>
      </c>
      <c r="D185">
        <f>'Multiple Regression'!L214</f>
        <v>-15228.427678845823</v>
      </c>
      <c r="E185" t="str">
        <f>'Cleaned Data'!A183</f>
        <v>STR-1046</v>
      </c>
      <c r="F185" t="str">
        <f>'Cleaned Data'!C183</f>
        <v>West</v>
      </c>
      <c r="G185" t="str">
        <f>'Cleaned Data'!D183</f>
        <v>Residential</v>
      </c>
    </row>
    <row r="186" spans="1:7">
      <c r="A186">
        <v>183</v>
      </c>
      <c r="B186">
        <f>'Cleaned Data'!M184</f>
        <v>761077.08</v>
      </c>
      <c r="C186">
        <f>'Multiple Regression'!K215</f>
        <v>819119.50986460596</v>
      </c>
      <c r="D186">
        <f>'Multiple Regression'!L215</f>
        <v>-58042.429864606005</v>
      </c>
      <c r="E186" t="str">
        <f>'Cleaned Data'!A184</f>
        <v>STR-1046</v>
      </c>
      <c r="F186" t="str">
        <f>'Cleaned Data'!C184</f>
        <v>West</v>
      </c>
      <c r="G186" t="str">
        <f>'Cleaned Data'!D184</f>
        <v>Residential</v>
      </c>
    </row>
    <row r="187" spans="1:7">
      <c r="A187">
        <v>184</v>
      </c>
      <c r="B187">
        <f>'Cleaned Data'!M185</f>
        <v>819660.59</v>
      </c>
      <c r="C187">
        <f>'Multiple Regression'!K216</f>
        <v>830635.69855217903</v>
      </c>
      <c r="D187">
        <f>'Multiple Regression'!L216</f>
        <v>-10975.108552179066</v>
      </c>
      <c r="E187" t="str">
        <f>'Cleaned Data'!A185</f>
        <v>STR-1046</v>
      </c>
      <c r="F187" t="str">
        <f>'Cleaned Data'!C185</f>
        <v>West</v>
      </c>
      <c r="G187" t="str">
        <f>'Cleaned Data'!D185</f>
        <v>Residential</v>
      </c>
    </row>
    <row r="188" spans="1:7">
      <c r="A188">
        <v>185</v>
      </c>
      <c r="B188">
        <f>'Cleaned Data'!M186</f>
        <v>681855.56</v>
      </c>
      <c r="C188">
        <f>'Multiple Regression'!K217</f>
        <v>673685.72736837598</v>
      </c>
      <c r="D188">
        <f>'Multiple Regression'!L217</f>
        <v>8169.8326316240709</v>
      </c>
      <c r="E188" t="str">
        <f>'Cleaned Data'!A186</f>
        <v>STR-1047</v>
      </c>
      <c r="F188" t="str">
        <f>'Cleaned Data'!C186</f>
        <v>North</v>
      </c>
      <c r="G188" t="str">
        <f>'Cleaned Data'!D186</f>
        <v>High Street</v>
      </c>
    </row>
    <row r="189" spans="1:7">
      <c r="A189">
        <v>186</v>
      </c>
      <c r="B189">
        <f>'Cleaned Data'!M187</f>
        <v>678311.17</v>
      </c>
      <c r="C189">
        <f>'Multiple Regression'!K218</f>
        <v>637110.37154880876</v>
      </c>
      <c r="D189">
        <f>'Multiple Regression'!L218</f>
        <v>41200.79845119128</v>
      </c>
      <c r="E189" t="str">
        <f>'Cleaned Data'!A187</f>
        <v>STR-1047</v>
      </c>
      <c r="F189" t="str">
        <f>'Cleaned Data'!C187</f>
        <v>North</v>
      </c>
      <c r="G189" t="str">
        <f>'Cleaned Data'!D187</f>
        <v>High Street</v>
      </c>
    </row>
    <row r="190" spans="1:7">
      <c r="A190">
        <v>187</v>
      </c>
      <c r="B190">
        <f>'Cleaned Data'!M188</f>
        <v>765906.95</v>
      </c>
      <c r="C190">
        <f>'Multiple Regression'!K219</f>
        <v>673728.7690611931</v>
      </c>
      <c r="D190">
        <f>'Multiple Regression'!L219</f>
        <v>92178.18093880685</v>
      </c>
      <c r="E190" t="str">
        <f>'Cleaned Data'!A188</f>
        <v>STR-1047</v>
      </c>
      <c r="F190" t="str">
        <f>'Cleaned Data'!C188</f>
        <v>North</v>
      </c>
      <c r="G190" t="str">
        <f>'Cleaned Data'!D188</f>
        <v>High Street</v>
      </c>
    </row>
    <row r="191" spans="1:7">
      <c r="A191">
        <v>188</v>
      </c>
      <c r="B191">
        <f>'Cleaned Data'!M189</f>
        <v>712546.38</v>
      </c>
      <c r="C191">
        <f>'Multiple Regression'!K220</f>
        <v>744957.75281300477</v>
      </c>
      <c r="D191">
        <f>'Multiple Regression'!L220</f>
        <v>-32411.372813004768</v>
      </c>
      <c r="E191" t="str">
        <f>'Cleaned Data'!A189</f>
        <v>STR-1047</v>
      </c>
      <c r="F191" t="str">
        <f>'Cleaned Data'!C189</f>
        <v>North</v>
      </c>
      <c r="G191" t="str">
        <f>'Cleaned Data'!D189</f>
        <v>High Street</v>
      </c>
    </row>
    <row r="192" spans="1:7">
      <c r="A192">
        <v>189</v>
      </c>
      <c r="B192">
        <f>'Cleaned Data'!M190</f>
        <v>625993.82999999996</v>
      </c>
      <c r="C192">
        <f>'Multiple Regression'!K221</f>
        <v>580325.70978150482</v>
      </c>
      <c r="D192">
        <f>'Multiple Regression'!L221</f>
        <v>45668.12021849514</v>
      </c>
      <c r="E192" t="str">
        <f>'Cleaned Data'!A190</f>
        <v>STR-1048</v>
      </c>
      <c r="F192" t="str">
        <f>'Cleaned Data'!C190</f>
        <v>East</v>
      </c>
      <c r="G192" t="str">
        <f>'Cleaned Data'!D190</f>
        <v>High Street</v>
      </c>
    </row>
    <row r="193" spans="1:7">
      <c r="A193">
        <v>190</v>
      </c>
      <c r="B193">
        <f>'Cleaned Data'!M191</f>
        <v>550962.93000000005</v>
      </c>
      <c r="C193">
        <f>'Multiple Regression'!K222</f>
        <v>525009.97452737996</v>
      </c>
      <c r="D193">
        <f>'Multiple Regression'!L222</f>
        <v>25952.955472620088</v>
      </c>
      <c r="E193" t="str">
        <f>'Cleaned Data'!A191</f>
        <v>STR-1048</v>
      </c>
      <c r="F193" t="str">
        <f>'Cleaned Data'!C191</f>
        <v>East</v>
      </c>
      <c r="G193" t="str">
        <f>'Cleaned Data'!D191</f>
        <v>High Street</v>
      </c>
    </row>
    <row r="194" spans="1:7">
      <c r="A194">
        <v>191</v>
      </c>
      <c r="B194">
        <f>'Cleaned Data'!M192</f>
        <v>443275.59</v>
      </c>
      <c r="C194">
        <f>'Multiple Regression'!K223</f>
        <v>471554.50515187171</v>
      </c>
      <c r="D194">
        <f>'Multiple Regression'!L223</f>
        <v>-28278.915151871683</v>
      </c>
      <c r="E194" t="str">
        <f>'Cleaned Data'!A192</f>
        <v>STR-1048</v>
      </c>
      <c r="F194" t="str">
        <f>'Cleaned Data'!C192</f>
        <v>East</v>
      </c>
      <c r="G194" t="str">
        <f>'Cleaned Data'!D192</f>
        <v>High Street</v>
      </c>
    </row>
    <row r="195" spans="1:7">
      <c r="A195">
        <v>192</v>
      </c>
      <c r="B195">
        <f>'Cleaned Data'!M193</f>
        <v>554012.06999999995</v>
      </c>
      <c r="C195">
        <f>'Multiple Regression'!K224</f>
        <v>592854.53682766668</v>
      </c>
      <c r="D195">
        <f>'Multiple Regression'!L224</f>
        <v>-38842.466827666736</v>
      </c>
      <c r="E195" t="str">
        <f>'Cleaned Data'!A193</f>
        <v>STR-1048</v>
      </c>
      <c r="F195" t="str">
        <f>'Cleaned Data'!C193</f>
        <v>East</v>
      </c>
      <c r="G195" t="str">
        <f>'Cleaned Data'!D193</f>
        <v>High Street</v>
      </c>
    </row>
    <row r="196" spans="1:7">
      <c r="A196">
        <v>193</v>
      </c>
      <c r="B196">
        <f>'Cleaned Data'!M194</f>
        <v>643428.85</v>
      </c>
      <c r="C196">
        <f>'Multiple Regression'!K225</f>
        <v>698618.73090357683</v>
      </c>
      <c r="D196">
        <f>'Multiple Regression'!L225</f>
        <v>-55189.88090357685</v>
      </c>
      <c r="E196" t="str">
        <f>'Cleaned Data'!A194</f>
        <v>STR-1049</v>
      </c>
      <c r="F196" t="str">
        <f>'Cleaned Data'!C194</f>
        <v>West</v>
      </c>
      <c r="G196" t="str">
        <f>'Cleaned Data'!D194</f>
        <v>Residential</v>
      </c>
    </row>
    <row r="197" spans="1:7">
      <c r="A197">
        <v>194</v>
      </c>
      <c r="B197">
        <f>'Cleaned Data'!M195</f>
        <v>611924.27</v>
      </c>
      <c r="C197">
        <f>'Multiple Regression'!K226</f>
        <v>629049.08478827344</v>
      </c>
      <c r="D197">
        <f>'Multiple Regression'!L226</f>
        <v>-17124.814788273419</v>
      </c>
      <c r="E197" t="str">
        <f>'Cleaned Data'!A195</f>
        <v>STR-1049</v>
      </c>
      <c r="F197" t="str">
        <f>'Cleaned Data'!C195</f>
        <v>West</v>
      </c>
      <c r="G197" t="str">
        <f>'Cleaned Data'!D195</f>
        <v>Residential</v>
      </c>
    </row>
    <row r="198" spans="1:7">
      <c r="A198">
        <v>195</v>
      </c>
      <c r="B198">
        <f>'Cleaned Data'!M196</f>
        <v>559422.02</v>
      </c>
      <c r="C198">
        <f>'Multiple Regression'!K227</f>
        <v>581210.41172913217</v>
      </c>
      <c r="D198">
        <f>'Multiple Regression'!L227</f>
        <v>-21788.391729132156</v>
      </c>
      <c r="E198" t="str">
        <f>'Cleaned Data'!A196</f>
        <v>STR-1049</v>
      </c>
      <c r="F198" t="str">
        <f>'Cleaned Data'!C196</f>
        <v>West</v>
      </c>
      <c r="G198" t="str">
        <f>'Cleaned Data'!D196</f>
        <v>Residential</v>
      </c>
    </row>
    <row r="199" spans="1:7">
      <c r="A199">
        <v>196</v>
      </c>
      <c r="B199">
        <f>'Cleaned Data'!M197</f>
        <v>449465.06</v>
      </c>
      <c r="C199">
        <f>'Multiple Regression'!K228</f>
        <v>547689.81051122025</v>
      </c>
      <c r="D199">
        <f>'Multiple Regression'!L228</f>
        <v>-98224.750511220249</v>
      </c>
      <c r="E199" t="str">
        <f>'Cleaned Data'!A197</f>
        <v>STR-1049</v>
      </c>
      <c r="F199" t="str">
        <f>'Cleaned Data'!C197</f>
        <v>West</v>
      </c>
      <c r="G199" t="str">
        <f>'Cleaned Data'!D197</f>
        <v>Residential</v>
      </c>
    </row>
    <row r="200" spans="1:7">
      <c r="A200">
        <v>197</v>
      </c>
      <c r="B200">
        <f>'Cleaned Data'!M198</f>
        <v>691447.43</v>
      </c>
      <c r="C200">
        <f>'Multiple Regression'!K229</f>
        <v>636324.51906469604</v>
      </c>
      <c r="D200">
        <f>'Multiple Regression'!L229</f>
        <v>55122.910935304011</v>
      </c>
      <c r="E200" t="str">
        <f>'Cleaned Data'!A198</f>
        <v>STR-1050</v>
      </c>
      <c r="F200" t="str">
        <f>'Cleaned Data'!C198</f>
        <v>North</v>
      </c>
      <c r="G200" t="str">
        <f>'Cleaned Data'!D198</f>
        <v>Residential</v>
      </c>
    </row>
    <row r="201" spans="1:7">
      <c r="A201">
        <v>198</v>
      </c>
      <c r="B201">
        <f>'Cleaned Data'!M199</f>
        <v>574066.61</v>
      </c>
      <c r="C201">
        <f>'Multiple Regression'!K230</f>
        <v>607576.07957458124</v>
      </c>
      <c r="D201">
        <f>'Multiple Regression'!L230</f>
        <v>-33509.46957458125</v>
      </c>
      <c r="E201" t="str">
        <f>'Cleaned Data'!A199</f>
        <v>STR-1050</v>
      </c>
      <c r="F201" t="str">
        <f>'Cleaned Data'!C199</f>
        <v>North</v>
      </c>
      <c r="G201" t="str">
        <f>'Cleaned Data'!D199</f>
        <v>Residential</v>
      </c>
    </row>
    <row r="202" spans="1:7">
      <c r="A202">
        <v>199</v>
      </c>
      <c r="B202">
        <f>'Cleaned Data'!M200</f>
        <v>578949.84</v>
      </c>
      <c r="C202">
        <f>'Multiple Regression'!K231</f>
        <v>634683.40447866777</v>
      </c>
      <c r="D202">
        <f>'Multiple Regression'!L231</f>
        <v>-55733.564478667802</v>
      </c>
      <c r="E202" t="str">
        <f>'Cleaned Data'!A200</f>
        <v>STR-1050</v>
      </c>
      <c r="F202" t="str">
        <f>'Cleaned Data'!C200</f>
        <v>North</v>
      </c>
      <c r="G202" t="str">
        <f>'Cleaned Data'!D200</f>
        <v>Residential</v>
      </c>
    </row>
    <row r="203" spans="1:7">
      <c r="A203">
        <v>200</v>
      </c>
      <c r="B203">
        <f>'Cleaned Data'!M201</f>
        <v>735786.64</v>
      </c>
      <c r="C203">
        <f>'Multiple Regression'!K232</f>
        <v>658328.28395175328</v>
      </c>
      <c r="D203">
        <f>'Multiple Regression'!L232</f>
        <v>77458.356048246729</v>
      </c>
      <c r="E203" t="str">
        <f>'Cleaned Data'!A201</f>
        <v>STR-1050</v>
      </c>
      <c r="F203" t="str">
        <f>'Cleaned Data'!C201</f>
        <v>North</v>
      </c>
      <c r="G203" t="str">
        <f>'Cleaned Data'!D201</f>
        <v>Residential</v>
      </c>
    </row>
    <row r="204" spans="1:7">
      <c r="A204">
        <v>201</v>
      </c>
      <c r="B204">
        <f>'Cleaned Data'!M202</f>
        <v>598904.9</v>
      </c>
      <c r="C204">
        <f>'Multiple Regression'!K233</f>
        <v>612876.46273022192</v>
      </c>
      <c r="D204">
        <f>'Multiple Regression'!L233</f>
        <v>-13971.562730221893</v>
      </c>
      <c r="E204" t="str">
        <f>'Cleaned Data'!A202</f>
        <v>STR-1051</v>
      </c>
      <c r="F204" t="str">
        <f>'Cleaned Data'!C202</f>
        <v>East</v>
      </c>
      <c r="G204" t="str">
        <f>'Cleaned Data'!D202</f>
        <v>Airport</v>
      </c>
    </row>
    <row r="205" spans="1:7">
      <c r="A205">
        <v>202</v>
      </c>
      <c r="B205">
        <f>'Cleaned Data'!M203</f>
        <v>787715.51</v>
      </c>
      <c r="C205">
        <f>'Multiple Regression'!K234</f>
        <v>676769.69560976652</v>
      </c>
      <c r="D205">
        <f>'Multiple Regression'!L234</f>
        <v>110945.81439023349</v>
      </c>
      <c r="E205" t="str">
        <f>'Cleaned Data'!A203</f>
        <v>STR-1051</v>
      </c>
      <c r="F205" t="str">
        <f>'Cleaned Data'!C203</f>
        <v>East</v>
      </c>
      <c r="G205" t="str">
        <f>'Cleaned Data'!D203</f>
        <v>Airport</v>
      </c>
    </row>
    <row r="206" spans="1:7">
      <c r="A206">
        <v>203</v>
      </c>
      <c r="B206">
        <f>'Cleaned Data'!M204</f>
        <v>607084.92000000004</v>
      </c>
      <c r="C206">
        <f>'Multiple Regression'!K235</f>
        <v>657411.07168854983</v>
      </c>
      <c r="D206">
        <f>'Multiple Regression'!L235</f>
        <v>-50326.151688549784</v>
      </c>
      <c r="E206" t="str">
        <f>'Cleaned Data'!A204</f>
        <v>STR-1051</v>
      </c>
      <c r="F206" t="str">
        <f>'Cleaned Data'!C204</f>
        <v>East</v>
      </c>
      <c r="G206" t="str">
        <f>'Cleaned Data'!D204</f>
        <v>Airport</v>
      </c>
    </row>
    <row r="207" spans="1:7">
      <c r="A207">
        <v>204</v>
      </c>
      <c r="B207">
        <f>'Cleaned Data'!M205</f>
        <v>650795.49</v>
      </c>
      <c r="C207">
        <f>'Multiple Regression'!K236</f>
        <v>654506.85540484206</v>
      </c>
      <c r="D207">
        <f>'Multiple Regression'!L236</f>
        <v>-3711.3654048420722</v>
      </c>
      <c r="E207" t="str">
        <f>'Cleaned Data'!A205</f>
        <v>STR-1051</v>
      </c>
      <c r="F207" t="str">
        <f>'Cleaned Data'!C205</f>
        <v>East</v>
      </c>
      <c r="G207" t="str">
        <f>'Cleaned Data'!D205</f>
        <v>Airport</v>
      </c>
    </row>
    <row r="208" spans="1:7">
      <c r="A208">
        <v>205</v>
      </c>
      <c r="B208">
        <f>'Cleaned Data'!M206</f>
        <v>825060.52</v>
      </c>
      <c r="C208">
        <f>'Multiple Regression'!K237</f>
        <v>808515.19803381059</v>
      </c>
      <c r="D208">
        <f>'Multiple Regression'!L237</f>
        <v>16545.321966189425</v>
      </c>
      <c r="E208" t="str">
        <f>'Cleaned Data'!A206</f>
        <v>STR-1052</v>
      </c>
      <c r="F208" t="str">
        <f>'Cleaned Data'!C206</f>
        <v>East</v>
      </c>
      <c r="G208" t="str">
        <f>'Cleaned Data'!D206</f>
        <v>Mall</v>
      </c>
    </row>
    <row r="209" spans="1:7">
      <c r="A209">
        <v>206</v>
      </c>
      <c r="B209">
        <f>'Cleaned Data'!M207</f>
        <v>795464.47</v>
      </c>
      <c r="C209">
        <f>'Multiple Regression'!K238</f>
        <v>707097.13994813664</v>
      </c>
      <c r="D209">
        <f>'Multiple Regression'!L238</f>
        <v>88367.330051863333</v>
      </c>
      <c r="E209" t="str">
        <f>'Cleaned Data'!A207</f>
        <v>STR-1052</v>
      </c>
      <c r="F209" t="str">
        <f>'Cleaned Data'!C207</f>
        <v>East</v>
      </c>
      <c r="G209" t="str">
        <f>'Cleaned Data'!D207</f>
        <v>Mall</v>
      </c>
    </row>
    <row r="210" spans="1:7">
      <c r="A210">
        <v>207</v>
      </c>
      <c r="B210">
        <f>'Cleaned Data'!M208</f>
        <v>671868.59</v>
      </c>
      <c r="C210">
        <f>'Multiple Regression'!K239</f>
        <v>729799.18967544648</v>
      </c>
      <c r="D210">
        <f>'Multiple Regression'!L239</f>
        <v>-57930.599675446516</v>
      </c>
      <c r="E210" t="str">
        <f>'Cleaned Data'!A208</f>
        <v>STR-1052</v>
      </c>
      <c r="F210" t="str">
        <f>'Cleaned Data'!C208</f>
        <v>East</v>
      </c>
      <c r="G210" t="str">
        <f>'Cleaned Data'!D208</f>
        <v>Mall</v>
      </c>
    </row>
    <row r="211" spans="1:7">
      <c r="A211">
        <v>208</v>
      </c>
      <c r="B211">
        <f>'Cleaned Data'!M209</f>
        <v>675917.63</v>
      </c>
      <c r="C211">
        <f>'Multiple Regression'!K240</f>
        <v>719729.32806283829</v>
      </c>
      <c r="D211">
        <f>'Multiple Regression'!L240</f>
        <v>-43811.698062838288</v>
      </c>
      <c r="E211" t="str">
        <f>'Cleaned Data'!A209</f>
        <v>STR-1052</v>
      </c>
      <c r="F211" t="str">
        <f>'Cleaned Data'!C209</f>
        <v>East</v>
      </c>
      <c r="G211" t="str">
        <f>'Cleaned Data'!D209</f>
        <v>Mall</v>
      </c>
    </row>
    <row r="212" spans="1:7">
      <c r="A212">
        <v>209</v>
      </c>
      <c r="B212">
        <f>'Cleaned Data'!M210</f>
        <v>810446.53</v>
      </c>
      <c r="C212">
        <f>'Multiple Regression'!K241</f>
        <v>807236.74247568427</v>
      </c>
      <c r="D212">
        <f>'Multiple Regression'!L241</f>
        <v>3209.7875243157614</v>
      </c>
      <c r="E212" t="str">
        <f>'Cleaned Data'!A210</f>
        <v>STR-1053</v>
      </c>
      <c r="F212" t="str">
        <f>'Cleaned Data'!C210</f>
        <v>East</v>
      </c>
      <c r="G212" t="str">
        <f>'Cleaned Data'!D210</f>
        <v>High Street</v>
      </c>
    </row>
    <row r="213" spans="1:7">
      <c r="A213">
        <v>210</v>
      </c>
      <c r="B213">
        <f>'Cleaned Data'!M211</f>
        <v>691288.19</v>
      </c>
      <c r="C213">
        <f>'Multiple Regression'!K242</f>
        <v>763309.78673251776</v>
      </c>
      <c r="D213">
        <f>'Multiple Regression'!L242</f>
        <v>-72021.596732517821</v>
      </c>
      <c r="E213" t="str">
        <f>'Cleaned Data'!A211</f>
        <v>STR-1053</v>
      </c>
      <c r="F213" t="str">
        <f>'Cleaned Data'!C211</f>
        <v>East</v>
      </c>
      <c r="G213" t="str">
        <f>'Cleaned Data'!D211</f>
        <v>High Street</v>
      </c>
    </row>
    <row r="214" spans="1:7">
      <c r="A214">
        <v>211</v>
      </c>
      <c r="B214">
        <f>'Cleaned Data'!M212</f>
        <v>946833.54</v>
      </c>
      <c r="C214">
        <f>'Multiple Regression'!K243</f>
        <v>954436.41720935563</v>
      </c>
      <c r="D214">
        <f>'Multiple Regression'!L243</f>
        <v>-7602.877209355589</v>
      </c>
      <c r="E214" t="str">
        <f>'Cleaned Data'!A212</f>
        <v>STR-1053</v>
      </c>
      <c r="F214" t="str">
        <f>'Cleaned Data'!C212</f>
        <v>East</v>
      </c>
      <c r="G214" t="str">
        <f>'Cleaned Data'!D212</f>
        <v>High Street</v>
      </c>
    </row>
    <row r="215" spans="1:7">
      <c r="A215">
        <v>212</v>
      </c>
      <c r="B215">
        <f>'Cleaned Data'!M213</f>
        <v>761963.23</v>
      </c>
      <c r="C215">
        <f>'Multiple Regression'!K244</f>
        <v>761145.80414896971</v>
      </c>
      <c r="D215">
        <f>'Multiple Regression'!L244</f>
        <v>817.42585103027523</v>
      </c>
      <c r="E215" t="str">
        <f>'Cleaned Data'!A213</f>
        <v>STR-1053</v>
      </c>
      <c r="F215" t="str">
        <f>'Cleaned Data'!C213</f>
        <v>East</v>
      </c>
      <c r="G215" t="str">
        <f>'Cleaned Data'!D213</f>
        <v>High Street</v>
      </c>
    </row>
    <row r="216" spans="1:7">
      <c r="A216">
        <v>213</v>
      </c>
      <c r="B216">
        <f>'Cleaned Data'!M214</f>
        <v>812152.6</v>
      </c>
      <c r="C216">
        <f>'Multiple Regression'!K245</f>
        <v>786394.42783698882</v>
      </c>
      <c r="D216">
        <f>'Multiple Regression'!L245</f>
        <v>25758.172163011157</v>
      </c>
      <c r="E216" t="str">
        <f>'Cleaned Data'!A214</f>
        <v>STR-1054</v>
      </c>
      <c r="F216" t="str">
        <f>'Cleaned Data'!C214</f>
        <v>West</v>
      </c>
      <c r="G216" t="str">
        <f>'Cleaned Data'!D214</f>
        <v>Residential</v>
      </c>
    </row>
    <row r="217" spans="1:7">
      <c r="A217">
        <v>214</v>
      </c>
      <c r="B217">
        <f>'Cleaned Data'!M215</f>
        <v>804975.5</v>
      </c>
      <c r="C217">
        <f>'Multiple Regression'!K246</f>
        <v>766430.93250386871</v>
      </c>
      <c r="D217">
        <f>'Multiple Regression'!L246</f>
        <v>38544.567496131291</v>
      </c>
      <c r="E217" t="str">
        <f>'Cleaned Data'!A215</f>
        <v>STR-1054</v>
      </c>
      <c r="F217" t="str">
        <f>'Cleaned Data'!C215</f>
        <v>West</v>
      </c>
      <c r="G217" t="str">
        <f>'Cleaned Data'!D215</f>
        <v>Residential</v>
      </c>
    </row>
    <row r="218" spans="1:7">
      <c r="A218">
        <v>215</v>
      </c>
      <c r="B218">
        <f>'Cleaned Data'!M216</f>
        <v>752321.72</v>
      </c>
      <c r="C218">
        <f>'Multiple Regression'!K247</f>
        <v>765812.62348155992</v>
      </c>
      <c r="D218">
        <f>'Multiple Regression'!L247</f>
        <v>-13490.903481559944</v>
      </c>
      <c r="E218" t="str">
        <f>'Cleaned Data'!A216</f>
        <v>STR-1054</v>
      </c>
      <c r="F218" t="str">
        <f>'Cleaned Data'!C216</f>
        <v>West</v>
      </c>
      <c r="G218" t="str">
        <f>'Cleaned Data'!D216</f>
        <v>Residential</v>
      </c>
    </row>
    <row r="219" spans="1:7">
      <c r="A219">
        <v>216</v>
      </c>
      <c r="B219">
        <f>'Cleaned Data'!M217</f>
        <v>836908.24</v>
      </c>
      <c r="C219">
        <f>'Multiple Regression'!K248</f>
        <v>832784.3058302463</v>
      </c>
      <c r="D219">
        <f>'Multiple Regression'!L248</f>
        <v>4123.9341697536875</v>
      </c>
      <c r="E219" t="str">
        <f>'Cleaned Data'!A217</f>
        <v>STR-1054</v>
      </c>
      <c r="F219" t="str">
        <f>'Cleaned Data'!C217</f>
        <v>West</v>
      </c>
      <c r="G219" t="str">
        <f>'Cleaned Data'!D217</f>
        <v>Residential</v>
      </c>
    </row>
    <row r="220" spans="1:7">
      <c r="A220">
        <v>217</v>
      </c>
      <c r="B220">
        <f>'Cleaned Data'!M218</f>
        <v>674289.1</v>
      </c>
      <c r="C220">
        <f>'Multiple Regression'!K249</f>
        <v>648020.66127728135</v>
      </c>
      <c r="D220">
        <f>'Multiple Regression'!L249</f>
        <v>26268.438722718623</v>
      </c>
      <c r="E220" t="str">
        <f>'Cleaned Data'!A218</f>
        <v>STR-1055</v>
      </c>
      <c r="F220" t="str">
        <f>'Cleaned Data'!C218</f>
        <v>North</v>
      </c>
      <c r="G220" t="str">
        <f>'Cleaned Data'!D218</f>
        <v>Airport</v>
      </c>
    </row>
    <row r="221" spans="1:7">
      <c r="A221">
        <v>218</v>
      </c>
      <c r="B221">
        <f>'Cleaned Data'!M219</f>
        <v>622892.42000000004</v>
      </c>
      <c r="C221">
        <f>'Multiple Regression'!K250</f>
        <v>608426.64008688356</v>
      </c>
      <c r="D221">
        <f>'Multiple Regression'!L250</f>
        <v>14465.779913116479</v>
      </c>
      <c r="E221" t="str">
        <f>'Cleaned Data'!A219</f>
        <v>STR-1055</v>
      </c>
      <c r="F221" t="str">
        <f>'Cleaned Data'!C219</f>
        <v>North</v>
      </c>
      <c r="G221" t="str">
        <f>'Cleaned Data'!D219</f>
        <v>Airport</v>
      </c>
    </row>
    <row r="222" spans="1:7">
      <c r="A222">
        <v>219</v>
      </c>
      <c r="B222">
        <f>'Cleaned Data'!M220</f>
        <v>673348.56</v>
      </c>
      <c r="C222">
        <f>'Multiple Regression'!K251</f>
        <v>613662.43368708179</v>
      </c>
      <c r="D222">
        <f>'Multiple Regression'!L251</f>
        <v>59686.126312918263</v>
      </c>
      <c r="E222" t="str">
        <f>'Cleaned Data'!A220</f>
        <v>STR-1055</v>
      </c>
      <c r="F222" t="str">
        <f>'Cleaned Data'!C220</f>
        <v>North</v>
      </c>
      <c r="G222" t="str">
        <f>'Cleaned Data'!D220</f>
        <v>Airport</v>
      </c>
    </row>
    <row r="223" spans="1:7">
      <c r="A223">
        <v>220</v>
      </c>
      <c r="B223">
        <f>'Cleaned Data'!M221</f>
        <v>606278.30000000005</v>
      </c>
      <c r="C223">
        <f>'Multiple Regression'!K252</f>
        <v>564787.54908627213</v>
      </c>
      <c r="D223">
        <f>'Multiple Regression'!L252</f>
        <v>41490.750913727912</v>
      </c>
      <c r="E223" t="str">
        <f>'Cleaned Data'!A221</f>
        <v>STR-1055</v>
      </c>
      <c r="F223" t="str">
        <f>'Cleaned Data'!C221</f>
        <v>North</v>
      </c>
      <c r="G223" t="str">
        <f>'Cleaned Data'!D221</f>
        <v>Airport</v>
      </c>
    </row>
    <row r="224" spans="1:7">
      <c r="A224">
        <v>221</v>
      </c>
      <c r="B224">
        <f>'Cleaned Data'!M222</f>
        <v>712219.81</v>
      </c>
      <c r="C224">
        <f>'Multiple Regression'!K253</f>
        <v>698874.15584056883</v>
      </c>
      <c r="D224">
        <f>'Multiple Regression'!L253</f>
        <v>13345.654159431229</v>
      </c>
      <c r="E224" t="str">
        <f>'Cleaned Data'!A222</f>
        <v>STR-1056</v>
      </c>
      <c r="F224" t="str">
        <f>'Cleaned Data'!C222</f>
        <v>East</v>
      </c>
      <c r="G224" t="str">
        <f>'Cleaned Data'!D222</f>
        <v>High Street</v>
      </c>
    </row>
    <row r="225" spans="1:7">
      <c r="A225">
        <v>222</v>
      </c>
      <c r="B225">
        <f>'Cleaned Data'!M223</f>
        <v>672670.54</v>
      </c>
      <c r="C225">
        <f>'Multiple Regression'!K254</f>
        <v>660171.45264739858</v>
      </c>
      <c r="D225">
        <f>'Multiple Regression'!L254</f>
        <v>12499.087352601462</v>
      </c>
      <c r="E225" t="str">
        <f>'Cleaned Data'!A223</f>
        <v>STR-1056</v>
      </c>
      <c r="F225" t="str">
        <f>'Cleaned Data'!C223</f>
        <v>East</v>
      </c>
      <c r="G225" t="str">
        <f>'Cleaned Data'!D223</f>
        <v>High Street</v>
      </c>
    </row>
    <row r="226" spans="1:7">
      <c r="A226">
        <v>223</v>
      </c>
      <c r="B226">
        <f>'Cleaned Data'!M224</f>
        <v>732667.92</v>
      </c>
      <c r="C226">
        <f>'Multiple Regression'!K255</f>
        <v>721638.43274506018</v>
      </c>
      <c r="D226">
        <f>'Multiple Regression'!L255</f>
        <v>11029.487254939857</v>
      </c>
      <c r="E226" t="str">
        <f>'Cleaned Data'!A224</f>
        <v>STR-1056</v>
      </c>
      <c r="F226" t="str">
        <f>'Cleaned Data'!C224</f>
        <v>East</v>
      </c>
      <c r="G226" t="str">
        <f>'Cleaned Data'!D224</f>
        <v>High Street</v>
      </c>
    </row>
    <row r="227" spans="1:7">
      <c r="A227">
        <v>224</v>
      </c>
      <c r="B227">
        <f>'Cleaned Data'!M225</f>
        <v>723531.4</v>
      </c>
      <c r="C227">
        <f>'Multiple Regression'!K256</f>
        <v>759900.64080619463</v>
      </c>
      <c r="D227">
        <f>'Multiple Regression'!L256</f>
        <v>-36369.240806194604</v>
      </c>
      <c r="E227" t="str">
        <f>'Cleaned Data'!A225</f>
        <v>STR-1056</v>
      </c>
      <c r="F227" t="str">
        <f>'Cleaned Data'!C225</f>
        <v>East</v>
      </c>
      <c r="G227" t="str">
        <f>'Cleaned Data'!D225</f>
        <v>High Street</v>
      </c>
    </row>
    <row r="228" spans="1:7">
      <c r="A228">
        <v>225</v>
      </c>
      <c r="B228">
        <f>'Cleaned Data'!M226</f>
        <v>641564.6</v>
      </c>
      <c r="C228">
        <f>'Multiple Regression'!K257</f>
        <v>633288.24466214422</v>
      </c>
      <c r="D228">
        <f>'Multiple Regression'!L257</f>
        <v>8276.3553378557554</v>
      </c>
      <c r="E228" t="str">
        <f>'Cleaned Data'!A226</f>
        <v>STR-1057</v>
      </c>
      <c r="F228" t="str">
        <f>'Cleaned Data'!C226</f>
        <v>East</v>
      </c>
      <c r="G228" t="str">
        <f>'Cleaned Data'!D226</f>
        <v>Mall</v>
      </c>
    </row>
    <row r="229" spans="1:7">
      <c r="A229">
        <v>226</v>
      </c>
      <c r="B229">
        <f>'Cleaned Data'!M227</f>
        <v>536545.49</v>
      </c>
      <c r="C229">
        <f>'Multiple Regression'!K258</f>
        <v>542172.47015866323</v>
      </c>
      <c r="D229">
        <f>'Multiple Regression'!L258</f>
        <v>-5626.9801586632384</v>
      </c>
      <c r="E229" t="str">
        <f>'Cleaned Data'!A227</f>
        <v>STR-1057</v>
      </c>
      <c r="F229" t="str">
        <f>'Cleaned Data'!C227</f>
        <v>East</v>
      </c>
      <c r="G229" t="str">
        <f>'Cleaned Data'!D227</f>
        <v>Mall</v>
      </c>
    </row>
    <row r="230" spans="1:7">
      <c r="A230">
        <v>227</v>
      </c>
      <c r="B230">
        <f>'Cleaned Data'!M228</f>
        <v>527681.56000000006</v>
      </c>
      <c r="C230">
        <f>'Multiple Regression'!K259</f>
        <v>560719.80256245134</v>
      </c>
      <c r="D230">
        <f>'Multiple Regression'!L259</f>
        <v>-33038.242562451283</v>
      </c>
      <c r="E230" t="str">
        <f>'Cleaned Data'!A228</f>
        <v>STR-1057</v>
      </c>
      <c r="F230" t="str">
        <f>'Cleaned Data'!C228</f>
        <v>East</v>
      </c>
      <c r="G230" t="str">
        <f>'Cleaned Data'!D228</f>
        <v>Mall</v>
      </c>
    </row>
    <row r="231" spans="1:7">
      <c r="A231">
        <v>228</v>
      </c>
      <c r="B231">
        <f>'Cleaned Data'!M229</f>
        <v>529598.93999999994</v>
      </c>
      <c r="C231">
        <f>'Multiple Regression'!K260</f>
        <v>467309.40331515024</v>
      </c>
      <c r="D231">
        <f>'Multiple Regression'!L260</f>
        <v>62289.536684849707</v>
      </c>
      <c r="E231" t="str">
        <f>'Cleaned Data'!A229</f>
        <v>STR-1057</v>
      </c>
      <c r="F231" t="str">
        <f>'Cleaned Data'!C229</f>
        <v>East</v>
      </c>
      <c r="G231" t="str">
        <f>'Cleaned Data'!D229</f>
        <v>Mall</v>
      </c>
    </row>
    <row r="232" spans="1:7">
      <c r="A232">
        <v>229</v>
      </c>
      <c r="B232">
        <f>'Cleaned Data'!M230</f>
        <v>570963.31000000006</v>
      </c>
      <c r="C232">
        <f>'Multiple Regression'!K261</f>
        <v>615432.67612713587</v>
      </c>
      <c r="D232">
        <f>'Multiple Regression'!L261</f>
        <v>-44469.366127135814</v>
      </c>
      <c r="E232" t="str">
        <f>'Cleaned Data'!A230</f>
        <v>STR-1058</v>
      </c>
      <c r="F232" t="str">
        <f>'Cleaned Data'!C230</f>
        <v>East</v>
      </c>
      <c r="G232" t="str">
        <f>'Cleaned Data'!D230</f>
        <v>High Street</v>
      </c>
    </row>
    <row r="233" spans="1:7">
      <c r="A233">
        <v>230</v>
      </c>
      <c r="B233">
        <f>'Cleaned Data'!M231</f>
        <v>870937.4</v>
      </c>
      <c r="C233">
        <f>'Multiple Regression'!K262</f>
        <v>818034.63177448325</v>
      </c>
      <c r="D233">
        <f>'Multiple Regression'!L262</f>
        <v>52902.768225516775</v>
      </c>
      <c r="E233" t="str">
        <f>'Cleaned Data'!A231</f>
        <v>STR-1058</v>
      </c>
      <c r="F233" t="str">
        <f>'Cleaned Data'!C231</f>
        <v>East</v>
      </c>
      <c r="G233" t="str">
        <f>'Cleaned Data'!D231</f>
        <v>High Street</v>
      </c>
    </row>
    <row r="234" spans="1:7">
      <c r="A234">
        <v>231</v>
      </c>
      <c r="B234">
        <f>'Cleaned Data'!M232</f>
        <v>596969.27</v>
      </c>
      <c r="C234">
        <f>'Multiple Regression'!K263</f>
        <v>634871.74399239814</v>
      </c>
      <c r="D234">
        <f>'Multiple Regression'!L263</f>
        <v>-37902.473992398125</v>
      </c>
      <c r="E234" t="str">
        <f>'Cleaned Data'!A232</f>
        <v>STR-1058</v>
      </c>
      <c r="F234" t="str">
        <f>'Cleaned Data'!C232</f>
        <v>East</v>
      </c>
      <c r="G234" t="str">
        <f>'Cleaned Data'!D232</f>
        <v>High Street</v>
      </c>
    </row>
    <row r="235" spans="1:7">
      <c r="A235">
        <v>232</v>
      </c>
      <c r="B235">
        <f>'Cleaned Data'!M233</f>
        <v>647512.85</v>
      </c>
      <c r="C235">
        <f>'Multiple Regression'!K264</f>
        <v>585392.45903089736</v>
      </c>
      <c r="D235">
        <f>'Multiple Regression'!L264</f>
        <v>62120.39096910262</v>
      </c>
      <c r="E235" t="str">
        <f>'Cleaned Data'!A233</f>
        <v>STR-1058</v>
      </c>
      <c r="F235" t="str">
        <f>'Cleaned Data'!C233</f>
        <v>East</v>
      </c>
      <c r="G235" t="str">
        <f>'Cleaned Data'!D233</f>
        <v>High Street</v>
      </c>
    </row>
    <row r="236" spans="1:7">
      <c r="A236">
        <v>233</v>
      </c>
      <c r="B236">
        <f>'Cleaned Data'!M234</f>
        <v>658072.14</v>
      </c>
      <c r="C236">
        <f>'Multiple Regression'!K265</f>
        <v>600976.04555807787</v>
      </c>
      <c r="D236">
        <f>'Multiple Regression'!L265</f>
        <v>57096.094441922149</v>
      </c>
      <c r="E236" t="str">
        <f>'Cleaned Data'!A234</f>
        <v>STR-1059</v>
      </c>
      <c r="F236" t="str">
        <f>'Cleaned Data'!C234</f>
        <v>West</v>
      </c>
      <c r="G236" t="str">
        <f>'Cleaned Data'!D234</f>
        <v>Residential</v>
      </c>
    </row>
    <row r="237" spans="1:7">
      <c r="A237">
        <v>234</v>
      </c>
      <c r="B237">
        <f>'Cleaned Data'!M235</f>
        <v>723305.11</v>
      </c>
      <c r="C237">
        <f>'Multiple Regression'!K266</f>
        <v>657565.35280294099</v>
      </c>
      <c r="D237">
        <f>'Multiple Regression'!L266</f>
        <v>65739.757197058992</v>
      </c>
      <c r="E237" t="str">
        <f>'Cleaned Data'!A235</f>
        <v>STR-1059</v>
      </c>
      <c r="F237" t="str">
        <f>'Cleaned Data'!C235</f>
        <v>West</v>
      </c>
      <c r="G237" t="str">
        <f>'Cleaned Data'!D235</f>
        <v>Residential</v>
      </c>
    </row>
    <row r="238" spans="1:7">
      <c r="A238">
        <v>235</v>
      </c>
      <c r="B238">
        <f>'Cleaned Data'!M236</f>
        <v>640666.53</v>
      </c>
      <c r="C238">
        <f>'Multiple Regression'!K267</f>
        <v>660944.16490725963</v>
      </c>
      <c r="D238">
        <f>'Multiple Regression'!L267</f>
        <v>-20277.634907259606</v>
      </c>
      <c r="E238" t="str">
        <f>'Cleaned Data'!A236</f>
        <v>STR-1059</v>
      </c>
      <c r="F238" t="str">
        <f>'Cleaned Data'!C236</f>
        <v>West</v>
      </c>
      <c r="G238" t="str">
        <f>'Cleaned Data'!D236</f>
        <v>Residential</v>
      </c>
    </row>
    <row r="239" spans="1:7">
      <c r="A239">
        <v>236</v>
      </c>
      <c r="B239">
        <f>'Cleaned Data'!M237</f>
        <v>670629.48</v>
      </c>
      <c r="C239">
        <f>'Multiple Regression'!K268</f>
        <v>666828.23069872265</v>
      </c>
      <c r="D239">
        <f>'Multiple Regression'!L268</f>
        <v>3801.2493012773339</v>
      </c>
      <c r="E239" t="str">
        <f>'Cleaned Data'!A237</f>
        <v>STR-1059</v>
      </c>
      <c r="F239" t="str">
        <f>'Cleaned Data'!C237</f>
        <v>West</v>
      </c>
      <c r="G239" t="str">
        <f>'Cleaned Data'!D237</f>
        <v>Residential</v>
      </c>
    </row>
    <row r="240" spans="1:7">
      <c r="A240">
        <v>237</v>
      </c>
      <c r="B240">
        <f>'Cleaned Data'!M238</f>
        <v>721079.35</v>
      </c>
      <c r="C240">
        <f>'Multiple Regression'!K269</f>
        <v>786279.08477133315</v>
      </c>
      <c r="D240">
        <f>'Multiple Regression'!L269</f>
        <v>-65199.734771333169</v>
      </c>
      <c r="E240" t="str">
        <f>'Cleaned Data'!A238</f>
        <v>STR-1060</v>
      </c>
      <c r="F240" t="str">
        <f>'Cleaned Data'!C238</f>
        <v>West</v>
      </c>
      <c r="G240" t="str">
        <f>'Cleaned Data'!D238</f>
        <v>Mall</v>
      </c>
    </row>
    <row r="241" spans="1:7">
      <c r="A241">
        <v>238</v>
      </c>
      <c r="B241">
        <f>'Cleaned Data'!M239</f>
        <v>810355.02</v>
      </c>
      <c r="C241">
        <f>'Multiple Regression'!K270</f>
        <v>818946.19992605795</v>
      </c>
      <c r="D241">
        <f>'Multiple Regression'!L270</f>
        <v>-8591.1799260579282</v>
      </c>
      <c r="E241" t="str">
        <f>'Cleaned Data'!A239</f>
        <v>STR-1060</v>
      </c>
      <c r="F241" t="str">
        <f>'Cleaned Data'!C239</f>
        <v>West</v>
      </c>
      <c r="G241" t="str">
        <f>'Cleaned Data'!D239</f>
        <v>Mall</v>
      </c>
    </row>
    <row r="242" spans="1:7">
      <c r="A242">
        <v>239</v>
      </c>
      <c r="B242">
        <f>'Cleaned Data'!M240</f>
        <v>761919.25</v>
      </c>
      <c r="C242">
        <f>'Multiple Regression'!K271</f>
        <v>796837.66371183866</v>
      </c>
      <c r="D242">
        <f>'Multiple Regression'!L271</f>
        <v>-34918.413711838657</v>
      </c>
      <c r="E242" t="str">
        <f>'Cleaned Data'!A240</f>
        <v>STR-1060</v>
      </c>
      <c r="F242" t="str">
        <f>'Cleaned Data'!C240</f>
        <v>West</v>
      </c>
      <c r="G242" t="str">
        <f>'Cleaned Data'!D240</f>
        <v>Mall</v>
      </c>
    </row>
    <row r="243" spans="1:7">
      <c r="A243">
        <v>240</v>
      </c>
      <c r="B243">
        <f>'Cleaned Data'!M241</f>
        <v>737070.18</v>
      </c>
      <c r="C243">
        <f>'Multiple Regression'!K272</f>
        <v>743547.29234852595</v>
      </c>
      <c r="D243">
        <f>'Multiple Regression'!L272</f>
        <v>-6477.1123485259013</v>
      </c>
      <c r="E243" t="str">
        <f>'Cleaned Data'!A241</f>
        <v>STR-1060</v>
      </c>
      <c r="F243" t="str">
        <f>'Cleaned Data'!C241</f>
        <v>West</v>
      </c>
      <c r="G243" t="str">
        <f>'Cleaned Data'!D241</f>
        <v>Mall</v>
      </c>
    </row>
    <row r="244" spans="1:7">
      <c r="A244">
        <v>241</v>
      </c>
      <c r="B244">
        <f>'Cleaned Data'!M242</f>
        <v>776992.93</v>
      </c>
      <c r="C244">
        <f>'Multiple Regression'!K273</f>
        <v>773759.82204906619</v>
      </c>
      <c r="D244">
        <f>'Multiple Regression'!L273</f>
        <v>3233.1079509338597</v>
      </c>
      <c r="E244" t="str">
        <f>'Cleaned Data'!A242</f>
        <v>STR-1061</v>
      </c>
      <c r="F244" t="str">
        <f>'Cleaned Data'!C242</f>
        <v>South</v>
      </c>
      <c r="G244" t="str">
        <f>'Cleaned Data'!D242</f>
        <v>Airport</v>
      </c>
    </row>
    <row r="245" spans="1:7">
      <c r="A245">
        <v>242</v>
      </c>
      <c r="B245">
        <f>'Cleaned Data'!M243</f>
        <v>676337.41</v>
      </c>
      <c r="C245">
        <f>'Multiple Regression'!K274</f>
        <v>649592.01275392203</v>
      </c>
      <c r="D245">
        <f>'Multiple Regression'!L274</f>
        <v>26745.397246078006</v>
      </c>
      <c r="E245" t="str">
        <f>'Cleaned Data'!A243</f>
        <v>STR-1061</v>
      </c>
      <c r="F245" t="str">
        <f>'Cleaned Data'!C243</f>
        <v>South</v>
      </c>
      <c r="G245" t="str">
        <f>'Cleaned Data'!D243</f>
        <v>Airport</v>
      </c>
    </row>
    <row r="246" spans="1:7">
      <c r="A246">
        <v>243</v>
      </c>
      <c r="B246">
        <f>'Cleaned Data'!M244</f>
        <v>828219.67</v>
      </c>
      <c r="C246">
        <f>'Multiple Regression'!K275</f>
        <v>826356.94458004332</v>
      </c>
      <c r="D246">
        <f>'Multiple Regression'!L275</f>
        <v>1862.7254199567251</v>
      </c>
      <c r="E246" t="str">
        <f>'Cleaned Data'!A244</f>
        <v>STR-1061</v>
      </c>
      <c r="F246" t="str">
        <f>'Cleaned Data'!C244</f>
        <v>South</v>
      </c>
      <c r="G246" t="str">
        <f>'Cleaned Data'!D244</f>
        <v>Airport</v>
      </c>
    </row>
    <row r="247" spans="1:7">
      <c r="A247">
        <v>244</v>
      </c>
      <c r="B247">
        <f>'Cleaned Data'!M245</f>
        <v>763159.92</v>
      </c>
      <c r="C247">
        <f>'Multiple Regression'!K276</f>
        <v>739105.42851141596</v>
      </c>
      <c r="D247">
        <f>'Multiple Regression'!L276</f>
        <v>24054.491488584084</v>
      </c>
      <c r="E247" t="str">
        <f>'Cleaned Data'!A245</f>
        <v>STR-1061</v>
      </c>
      <c r="F247" t="str">
        <f>'Cleaned Data'!C245</f>
        <v>South</v>
      </c>
      <c r="G247" t="str">
        <f>'Cleaned Data'!D245</f>
        <v>Airport</v>
      </c>
    </row>
    <row r="248" spans="1:7">
      <c r="A248">
        <v>245</v>
      </c>
      <c r="B248">
        <f>'Cleaned Data'!M246</f>
        <v>802001.68</v>
      </c>
      <c r="C248">
        <f>'Multiple Regression'!K277</f>
        <v>766174.59142191638</v>
      </c>
      <c r="D248">
        <f>'Multiple Regression'!L277</f>
        <v>35827.088578083669</v>
      </c>
      <c r="E248" t="str">
        <f>'Cleaned Data'!A246</f>
        <v>STR-1062</v>
      </c>
      <c r="F248" t="str">
        <f>'Cleaned Data'!C246</f>
        <v>East</v>
      </c>
      <c r="G248" t="str">
        <f>'Cleaned Data'!D246</f>
        <v>High Street</v>
      </c>
    </row>
    <row r="249" spans="1:7">
      <c r="A249">
        <v>246</v>
      </c>
      <c r="B249">
        <f>'Cleaned Data'!M247</f>
        <v>750471.34</v>
      </c>
      <c r="C249">
        <f>'Multiple Regression'!K278</f>
        <v>727451.32940988464</v>
      </c>
      <c r="D249">
        <f>'Multiple Regression'!L278</f>
        <v>23020.010590115329</v>
      </c>
      <c r="E249" t="str">
        <f>'Cleaned Data'!A247</f>
        <v>STR-1062</v>
      </c>
      <c r="F249" t="str">
        <f>'Cleaned Data'!C247</f>
        <v>East</v>
      </c>
      <c r="G249" t="str">
        <f>'Cleaned Data'!D247</f>
        <v>High Street</v>
      </c>
    </row>
    <row r="250" spans="1:7">
      <c r="A250">
        <v>247</v>
      </c>
      <c r="B250">
        <f>'Cleaned Data'!M248</f>
        <v>679230.86</v>
      </c>
      <c r="C250">
        <f>'Multiple Regression'!K279</f>
        <v>700550.11234003596</v>
      </c>
      <c r="D250">
        <f>'Multiple Regression'!L279</f>
        <v>-21319.252340035979</v>
      </c>
      <c r="E250" t="str">
        <f>'Cleaned Data'!A248</f>
        <v>STR-1062</v>
      </c>
      <c r="F250" t="str">
        <f>'Cleaned Data'!C248</f>
        <v>East</v>
      </c>
      <c r="G250" t="str">
        <f>'Cleaned Data'!D248</f>
        <v>High Street</v>
      </c>
    </row>
    <row r="251" spans="1:7">
      <c r="A251">
        <v>248</v>
      </c>
      <c r="B251">
        <f>'Cleaned Data'!M249</f>
        <v>679888.74</v>
      </c>
      <c r="C251">
        <f>'Multiple Regression'!K280</f>
        <v>679307.01057477016</v>
      </c>
      <c r="D251">
        <f>'Multiple Regression'!L280</f>
        <v>581.72942522983067</v>
      </c>
      <c r="E251" t="str">
        <f>'Cleaned Data'!A249</f>
        <v>STR-1062</v>
      </c>
      <c r="F251" t="str">
        <f>'Cleaned Data'!C249</f>
        <v>East</v>
      </c>
      <c r="G251" t="str">
        <f>'Cleaned Data'!D249</f>
        <v>High Street</v>
      </c>
    </row>
    <row r="252" spans="1:7">
      <c r="A252">
        <v>249</v>
      </c>
      <c r="B252">
        <f>'Cleaned Data'!M250</f>
        <v>606783.67000000004</v>
      </c>
      <c r="C252">
        <f>'Multiple Regression'!K281</f>
        <v>566771.75821552228</v>
      </c>
      <c r="D252">
        <f>'Multiple Regression'!L281</f>
        <v>40011.911784477765</v>
      </c>
      <c r="E252" t="str">
        <f>'Cleaned Data'!A250</f>
        <v>STR-1063</v>
      </c>
      <c r="F252" t="str">
        <f>'Cleaned Data'!C250</f>
        <v>North</v>
      </c>
      <c r="G252" t="str">
        <f>'Cleaned Data'!D250</f>
        <v>High Street</v>
      </c>
    </row>
    <row r="253" spans="1:7">
      <c r="A253">
        <v>250</v>
      </c>
      <c r="B253">
        <f>'Cleaned Data'!M251</f>
        <v>642751.42000000004</v>
      </c>
      <c r="C253">
        <f>'Multiple Regression'!K282</f>
        <v>674705.43541860825</v>
      </c>
      <c r="D253">
        <f>'Multiple Regression'!L282</f>
        <v>-31954.015418608207</v>
      </c>
      <c r="E253" t="str">
        <f>'Cleaned Data'!A251</f>
        <v>STR-1063</v>
      </c>
      <c r="F253" t="str">
        <f>'Cleaned Data'!C251</f>
        <v>North</v>
      </c>
      <c r="G253" t="str">
        <f>'Cleaned Data'!D251</f>
        <v>High Street</v>
      </c>
    </row>
    <row r="254" spans="1:7">
      <c r="A254">
        <v>251</v>
      </c>
      <c r="B254">
        <f>'Cleaned Data'!M252</f>
        <v>647953.78</v>
      </c>
      <c r="C254">
        <f>'Multiple Regression'!K283</f>
        <v>647103.13696315209</v>
      </c>
      <c r="D254">
        <f>'Multiple Regression'!L283</f>
        <v>850.64303684793413</v>
      </c>
      <c r="E254" t="str">
        <f>'Cleaned Data'!A252</f>
        <v>STR-1063</v>
      </c>
      <c r="F254" t="str">
        <f>'Cleaned Data'!C252</f>
        <v>North</v>
      </c>
      <c r="G254" t="str">
        <f>'Cleaned Data'!D252</f>
        <v>High Street</v>
      </c>
    </row>
    <row r="255" spans="1:7">
      <c r="A255">
        <v>252</v>
      </c>
      <c r="B255">
        <f>'Cleaned Data'!M253</f>
        <v>729440.45</v>
      </c>
      <c r="C255">
        <f>'Multiple Regression'!K284</f>
        <v>727180.23398306454</v>
      </c>
      <c r="D255">
        <f>'Multiple Regression'!L284</f>
        <v>2260.2160169354174</v>
      </c>
      <c r="E255" t="str">
        <f>'Cleaned Data'!A253</f>
        <v>STR-1063</v>
      </c>
      <c r="F255" t="str">
        <f>'Cleaned Data'!C253</f>
        <v>North</v>
      </c>
      <c r="G255" t="str">
        <f>'Cleaned Data'!D253</f>
        <v>High Street</v>
      </c>
    </row>
    <row r="256" spans="1:7">
      <c r="A256">
        <v>253</v>
      </c>
      <c r="B256">
        <f>'Cleaned Data'!M254</f>
        <v>764949</v>
      </c>
      <c r="C256">
        <f>'Multiple Regression'!K285</f>
        <v>723875.38604308886</v>
      </c>
      <c r="D256">
        <f>'Multiple Regression'!L285</f>
        <v>41073.61395691114</v>
      </c>
      <c r="E256" t="str">
        <f>'Cleaned Data'!A254</f>
        <v>STR-1064</v>
      </c>
      <c r="F256" t="str">
        <f>'Cleaned Data'!C254</f>
        <v>South</v>
      </c>
      <c r="G256" t="str">
        <f>'Cleaned Data'!D254</f>
        <v>Airport</v>
      </c>
    </row>
    <row r="257" spans="1:7">
      <c r="A257">
        <v>254</v>
      </c>
      <c r="B257">
        <f>'Cleaned Data'!M255</f>
        <v>799046.94</v>
      </c>
      <c r="C257">
        <f>'Multiple Regression'!K286</f>
        <v>707640.10501752712</v>
      </c>
      <c r="D257">
        <f>'Multiple Regression'!L286</f>
        <v>91406.834982472821</v>
      </c>
      <c r="E257" t="str">
        <f>'Cleaned Data'!A255</f>
        <v>STR-1064</v>
      </c>
      <c r="F257" t="str">
        <f>'Cleaned Data'!C255</f>
        <v>South</v>
      </c>
      <c r="G257" t="str">
        <f>'Cleaned Data'!D255</f>
        <v>Airport</v>
      </c>
    </row>
    <row r="258" spans="1:7">
      <c r="A258">
        <v>255</v>
      </c>
      <c r="B258">
        <f>'Cleaned Data'!M256</f>
        <v>720079.54</v>
      </c>
      <c r="C258">
        <f>'Multiple Regression'!K287</f>
        <v>676252.26489063189</v>
      </c>
      <c r="D258">
        <f>'Multiple Regression'!L287</f>
        <v>43827.275109368144</v>
      </c>
      <c r="E258" t="str">
        <f>'Cleaned Data'!A256</f>
        <v>STR-1064</v>
      </c>
      <c r="F258" t="str">
        <f>'Cleaned Data'!C256</f>
        <v>South</v>
      </c>
      <c r="G258" t="str">
        <f>'Cleaned Data'!D256</f>
        <v>Airport</v>
      </c>
    </row>
    <row r="259" spans="1:7">
      <c r="A259">
        <v>256</v>
      </c>
      <c r="B259">
        <f>'Cleaned Data'!M257</f>
        <v>612390.14</v>
      </c>
      <c r="C259">
        <f>'Multiple Regression'!K288</f>
        <v>645292.33556595282</v>
      </c>
      <c r="D259">
        <f>'Multiple Regression'!L288</f>
        <v>-32902.195565952803</v>
      </c>
      <c r="E259" t="str">
        <f>'Cleaned Data'!A257</f>
        <v>STR-1064</v>
      </c>
      <c r="F259" t="str">
        <f>'Cleaned Data'!C257</f>
        <v>South</v>
      </c>
      <c r="G259" t="str">
        <f>'Cleaned Data'!D257</f>
        <v>Airport</v>
      </c>
    </row>
    <row r="260" spans="1:7">
      <c r="A260">
        <v>257</v>
      </c>
      <c r="B260">
        <f>'Cleaned Data'!M258</f>
        <v>840108.12</v>
      </c>
      <c r="C260">
        <f>'Multiple Regression'!K289</f>
        <v>764792.20002227125</v>
      </c>
      <c r="D260">
        <f>'Multiple Regression'!L289</f>
        <v>75315.919977728743</v>
      </c>
      <c r="E260" t="str">
        <f>'Cleaned Data'!A258</f>
        <v>STR-1065</v>
      </c>
      <c r="F260" t="str">
        <f>'Cleaned Data'!C258</f>
        <v>South</v>
      </c>
      <c r="G260" t="str">
        <f>'Cleaned Data'!D258</f>
        <v>Mall</v>
      </c>
    </row>
    <row r="261" spans="1:7">
      <c r="A261">
        <v>258</v>
      </c>
      <c r="B261">
        <f>'Cleaned Data'!M259</f>
        <v>697888.09</v>
      </c>
      <c r="C261">
        <f>'Multiple Regression'!K290</f>
        <v>693606.68638415553</v>
      </c>
      <c r="D261">
        <f>'Multiple Regression'!L290</f>
        <v>4281.403615844436</v>
      </c>
      <c r="E261" t="str">
        <f>'Cleaned Data'!A259</f>
        <v>STR-1065</v>
      </c>
      <c r="F261" t="str">
        <f>'Cleaned Data'!C259</f>
        <v>South</v>
      </c>
      <c r="G261" t="str">
        <f>'Cleaned Data'!D259</f>
        <v>Mall</v>
      </c>
    </row>
    <row r="262" spans="1:7">
      <c r="A262">
        <v>259</v>
      </c>
      <c r="B262">
        <f>'Cleaned Data'!M260</f>
        <v>746115.59</v>
      </c>
      <c r="C262">
        <f>'Multiple Regression'!K291</f>
        <v>742306.35360621521</v>
      </c>
      <c r="D262">
        <f>'Multiple Regression'!L291</f>
        <v>3809.2363937847549</v>
      </c>
      <c r="E262" t="str">
        <f>'Cleaned Data'!A260</f>
        <v>STR-1065</v>
      </c>
      <c r="F262" t="str">
        <f>'Cleaned Data'!C260</f>
        <v>South</v>
      </c>
      <c r="G262" t="str">
        <f>'Cleaned Data'!D260</f>
        <v>Mall</v>
      </c>
    </row>
    <row r="263" spans="1:7">
      <c r="A263">
        <v>260</v>
      </c>
      <c r="B263">
        <f>'Cleaned Data'!M261</f>
        <v>776110.32</v>
      </c>
      <c r="C263">
        <f>'Multiple Regression'!K292</f>
        <v>716961.44109889877</v>
      </c>
      <c r="D263">
        <f>'Multiple Regression'!L292</f>
        <v>59148.878901101183</v>
      </c>
      <c r="E263" t="str">
        <f>'Cleaned Data'!A261</f>
        <v>STR-1065</v>
      </c>
      <c r="F263" t="str">
        <f>'Cleaned Data'!C261</f>
        <v>South</v>
      </c>
      <c r="G263" t="str">
        <f>'Cleaned Data'!D261</f>
        <v>Mall</v>
      </c>
    </row>
    <row r="264" spans="1:7">
      <c r="A264">
        <v>261</v>
      </c>
      <c r="B264">
        <f>'Cleaned Data'!M262</f>
        <v>528852.62</v>
      </c>
      <c r="C264">
        <f>'Multiple Regression'!K293</f>
        <v>521188.66661757295</v>
      </c>
      <c r="D264">
        <f>'Multiple Regression'!L293</f>
        <v>7663.9533824270475</v>
      </c>
      <c r="E264" t="str">
        <f>'Cleaned Data'!A262</f>
        <v>STR-1066</v>
      </c>
      <c r="F264" t="str">
        <f>'Cleaned Data'!C262</f>
        <v>West</v>
      </c>
      <c r="G264" t="str">
        <f>'Cleaned Data'!D262</f>
        <v>High Street</v>
      </c>
    </row>
    <row r="265" spans="1:7">
      <c r="A265">
        <v>262</v>
      </c>
      <c r="B265">
        <f>'Cleaned Data'!M263</f>
        <v>605751.32999999996</v>
      </c>
      <c r="C265">
        <f>'Multiple Regression'!K294</f>
        <v>611687.32837786479</v>
      </c>
      <c r="D265">
        <f>'Multiple Regression'!L294</f>
        <v>-5935.9983778648311</v>
      </c>
      <c r="E265" t="str">
        <f>'Cleaned Data'!A263</f>
        <v>STR-1066</v>
      </c>
      <c r="F265" t="str">
        <f>'Cleaned Data'!C263</f>
        <v>West</v>
      </c>
      <c r="G265" t="str">
        <f>'Cleaned Data'!D263</f>
        <v>High Street</v>
      </c>
    </row>
    <row r="266" spans="1:7">
      <c r="A266">
        <v>263</v>
      </c>
      <c r="B266">
        <f>'Cleaned Data'!M264</f>
        <v>677640.65</v>
      </c>
      <c r="C266">
        <f>'Multiple Regression'!K295</f>
        <v>632091.89610078989</v>
      </c>
      <c r="D266">
        <f>'Multiple Regression'!L295</f>
        <v>45548.753899210133</v>
      </c>
      <c r="E266" t="str">
        <f>'Cleaned Data'!A264</f>
        <v>STR-1066</v>
      </c>
      <c r="F266" t="str">
        <f>'Cleaned Data'!C264</f>
        <v>West</v>
      </c>
      <c r="G266" t="str">
        <f>'Cleaned Data'!D264</f>
        <v>High Street</v>
      </c>
    </row>
    <row r="267" spans="1:7">
      <c r="A267">
        <v>264</v>
      </c>
      <c r="B267">
        <f>'Cleaned Data'!M265</f>
        <v>636613.23</v>
      </c>
      <c r="C267">
        <f>'Multiple Regression'!K296</f>
        <v>604588.75139949878</v>
      </c>
      <c r="D267">
        <f>'Multiple Regression'!L296</f>
        <v>32024.478600501199</v>
      </c>
      <c r="E267" t="str">
        <f>'Cleaned Data'!A265</f>
        <v>STR-1066</v>
      </c>
      <c r="F267" t="str">
        <f>'Cleaned Data'!C265</f>
        <v>West</v>
      </c>
      <c r="G267" t="str">
        <f>'Cleaned Data'!D265</f>
        <v>High Street</v>
      </c>
    </row>
    <row r="268" spans="1:7">
      <c r="A268">
        <v>265</v>
      </c>
      <c r="B268">
        <f>'Cleaned Data'!M266</f>
        <v>708985.19</v>
      </c>
      <c r="C268">
        <f>'Multiple Regression'!K297</f>
        <v>687035.65662959707</v>
      </c>
      <c r="D268">
        <f>'Multiple Regression'!L297</f>
        <v>21949.533370402874</v>
      </c>
      <c r="E268" t="str">
        <f>'Cleaned Data'!A266</f>
        <v>STR-1067</v>
      </c>
      <c r="F268" t="str">
        <f>'Cleaned Data'!C266</f>
        <v>East</v>
      </c>
      <c r="G268" t="str">
        <f>'Cleaned Data'!D266</f>
        <v>High Street</v>
      </c>
    </row>
    <row r="269" spans="1:7">
      <c r="A269">
        <v>266</v>
      </c>
      <c r="B269">
        <f>'Cleaned Data'!M267</f>
        <v>767792.94</v>
      </c>
      <c r="C269">
        <f>'Multiple Regression'!K298</f>
        <v>738624.00813601865</v>
      </c>
      <c r="D269">
        <f>'Multiple Regression'!L298</f>
        <v>29168.931863981299</v>
      </c>
      <c r="E269" t="str">
        <f>'Cleaned Data'!A267</f>
        <v>STR-1067</v>
      </c>
      <c r="F269" t="str">
        <f>'Cleaned Data'!C267</f>
        <v>East</v>
      </c>
      <c r="G269" t="str">
        <f>'Cleaned Data'!D267</f>
        <v>High Street</v>
      </c>
    </row>
    <row r="270" spans="1:7">
      <c r="A270">
        <v>267</v>
      </c>
      <c r="B270">
        <f>'Cleaned Data'!M268</f>
        <v>745580.51</v>
      </c>
      <c r="C270">
        <f>'Multiple Regression'!K299</f>
        <v>717087.49430895026</v>
      </c>
      <c r="D270">
        <f>'Multiple Regression'!L299</f>
        <v>28493.015691049746</v>
      </c>
      <c r="E270" t="str">
        <f>'Cleaned Data'!A268</f>
        <v>STR-1067</v>
      </c>
      <c r="F270" t="str">
        <f>'Cleaned Data'!C268</f>
        <v>East</v>
      </c>
      <c r="G270" t="str">
        <f>'Cleaned Data'!D268</f>
        <v>High Street</v>
      </c>
    </row>
    <row r="271" spans="1:7">
      <c r="A271">
        <v>268</v>
      </c>
      <c r="B271">
        <f>'Cleaned Data'!M269</f>
        <v>762328.31</v>
      </c>
      <c r="C271">
        <f>'Multiple Regression'!K300</f>
        <v>694511.15662168211</v>
      </c>
      <c r="D271">
        <f>'Multiple Regression'!L300</f>
        <v>67817.153378317947</v>
      </c>
      <c r="E271" t="str">
        <f>'Cleaned Data'!A269</f>
        <v>STR-1067</v>
      </c>
      <c r="F271" t="str">
        <f>'Cleaned Data'!C269</f>
        <v>East</v>
      </c>
      <c r="G271" t="str">
        <f>'Cleaned Data'!D269</f>
        <v>High Street</v>
      </c>
    </row>
    <row r="272" spans="1:7">
      <c r="A272">
        <v>269</v>
      </c>
      <c r="B272">
        <f>'Cleaned Data'!M270</f>
        <v>660633.99</v>
      </c>
      <c r="C272">
        <f>'Multiple Regression'!K301</f>
        <v>699046.16350016103</v>
      </c>
      <c r="D272">
        <f>'Multiple Regression'!L301</f>
        <v>-38412.173500161036</v>
      </c>
      <c r="E272" t="str">
        <f>'Cleaned Data'!A270</f>
        <v>STR-1068</v>
      </c>
      <c r="F272" t="str">
        <f>'Cleaned Data'!C270</f>
        <v>East</v>
      </c>
      <c r="G272" t="str">
        <f>'Cleaned Data'!D270</f>
        <v>Mall</v>
      </c>
    </row>
    <row r="273" spans="1:7">
      <c r="A273">
        <v>270</v>
      </c>
      <c r="B273">
        <f>'Cleaned Data'!M271</f>
        <v>739374.56</v>
      </c>
      <c r="C273">
        <f>'Multiple Regression'!K302</f>
        <v>679052.17996098311</v>
      </c>
      <c r="D273">
        <f>'Multiple Regression'!L302</f>
        <v>60322.380039016949</v>
      </c>
      <c r="E273" t="str">
        <f>'Cleaned Data'!A271</f>
        <v>STR-1068</v>
      </c>
      <c r="F273" t="str">
        <f>'Cleaned Data'!C271</f>
        <v>East</v>
      </c>
      <c r="G273" t="str">
        <f>'Cleaned Data'!D271</f>
        <v>Mall</v>
      </c>
    </row>
    <row r="274" spans="1:7">
      <c r="A274">
        <v>271</v>
      </c>
      <c r="B274">
        <f>'Cleaned Data'!M272</f>
        <v>799756.46</v>
      </c>
      <c r="C274">
        <f>'Multiple Regression'!K303</f>
        <v>800608.17585676862</v>
      </c>
      <c r="D274">
        <f>'Multiple Regression'!L303</f>
        <v>-851.71585676865652</v>
      </c>
      <c r="E274" t="str">
        <f>'Cleaned Data'!A272</f>
        <v>STR-1068</v>
      </c>
      <c r="F274" t="str">
        <f>'Cleaned Data'!C272</f>
        <v>East</v>
      </c>
      <c r="G274" t="str">
        <f>'Cleaned Data'!D272</f>
        <v>Mall</v>
      </c>
    </row>
    <row r="275" spans="1:7">
      <c r="A275">
        <v>272</v>
      </c>
      <c r="B275">
        <f>'Cleaned Data'!M273</f>
        <v>593343</v>
      </c>
      <c r="C275">
        <f>'Multiple Regression'!K304</f>
        <v>656916.96418016066</v>
      </c>
      <c r="D275">
        <f>'Multiple Regression'!L304</f>
        <v>-63573.964180160663</v>
      </c>
      <c r="E275" t="str">
        <f>'Cleaned Data'!A273</f>
        <v>STR-1068</v>
      </c>
      <c r="F275" t="str">
        <f>'Cleaned Data'!C273</f>
        <v>East</v>
      </c>
      <c r="G275" t="str">
        <f>'Cleaned Data'!D273</f>
        <v>Mall</v>
      </c>
    </row>
    <row r="276" spans="1:7">
      <c r="A276">
        <v>273</v>
      </c>
      <c r="B276">
        <f>'Cleaned Data'!M274</f>
        <v>645039.97</v>
      </c>
      <c r="C276">
        <f>'Multiple Regression'!K305</f>
        <v>655707.00303013378</v>
      </c>
      <c r="D276">
        <f>'Multiple Regression'!L305</f>
        <v>-10667.033030133811</v>
      </c>
      <c r="E276" t="str">
        <f>'Cleaned Data'!A274</f>
        <v>STR-1069</v>
      </c>
      <c r="F276" t="str">
        <f>'Cleaned Data'!C274</f>
        <v>West</v>
      </c>
      <c r="G276" t="str">
        <f>'Cleaned Data'!D274</f>
        <v>High Street</v>
      </c>
    </row>
    <row r="277" spans="1:7">
      <c r="A277">
        <v>274</v>
      </c>
      <c r="B277">
        <f>'Cleaned Data'!M275</f>
        <v>561597.32999999996</v>
      </c>
      <c r="C277">
        <f>'Multiple Regression'!K306</f>
        <v>542062.25029843033</v>
      </c>
      <c r="D277">
        <f>'Multiple Regression'!L306</f>
        <v>19535.07970156963</v>
      </c>
      <c r="E277" t="str">
        <f>'Cleaned Data'!A275</f>
        <v>STR-1069</v>
      </c>
      <c r="F277" t="str">
        <f>'Cleaned Data'!C275</f>
        <v>West</v>
      </c>
      <c r="G277" t="str">
        <f>'Cleaned Data'!D275</f>
        <v>High Street</v>
      </c>
    </row>
    <row r="278" spans="1:7">
      <c r="A278">
        <v>275</v>
      </c>
      <c r="B278">
        <f>'Cleaned Data'!M276</f>
        <v>635837.74</v>
      </c>
      <c r="C278">
        <f>'Multiple Regression'!K307</f>
        <v>654714.2193648027</v>
      </c>
      <c r="D278">
        <f>'Multiple Regression'!L307</f>
        <v>-18876.479364802712</v>
      </c>
      <c r="E278" t="str">
        <f>'Cleaned Data'!A276</f>
        <v>STR-1069</v>
      </c>
      <c r="F278" t="str">
        <f>'Cleaned Data'!C276</f>
        <v>West</v>
      </c>
      <c r="G278" t="str">
        <f>'Cleaned Data'!D276</f>
        <v>High Street</v>
      </c>
    </row>
    <row r="279" spans="1:7">
      <c r="A279">
        <v>276</v>
      </c>
      <c r="B279">
        <f>'Cleaned Data'!M277</f>
        <v>686737.87</v>
      </c>
      <c r="C279">
        <f>'Multiple Regression'!K308</f>
        <v>650084.80845147301</v>
      </c>
      <c r="D279">
        <f>'Multiple Regression'!L308</f>
        <v>36653.061548526981</v>
      </c>
      <c r="E279" t="str">
        <f>'Cleaned Data'!A277</f>
        <v>STR-1069</v>
      </c>
      <c r="F279" t="str">
        <f>'Cleaned Data'!C277</f>
        <v>West</v>
      </c>
      <c r="G279" t="str">
        <f>'Cleaned Data'!D277</f>
        <v>High Street</v>
      </c>
    </row>
    <row r="280" spans="1:7">
      <c r="A280">
        <v>277</v>
      </c>
      <c r="B280">
        <f>'Cleaned Data'!M278</f>
        <v>673076.34</v>
      </c>
      <c r="C280">
        <f>'Multiple Regression'!K309</f>
        <v>767896.79328246252</v>
      </c>
      <c r="D280">
        <f>'Multiple Regression'!L309</f>
        <v>-94820.453282462549</v>
      </c>
      <c r="E280" t="str">
        <f>'Cleaned Data'!A278</f>
        <v>STR-1070</v>
      </c>
      <c r="F280" t="str">
        <f>'Cleaned Data'!C278</f>
        <v>South</v>
      </c>
      <c r="G280" t="str">
        <f>'Cleaned Data'!D278</f>
        <v>Residential</v>
      </c>
    </row>
    <row r="281" spans="1:7">
      <c r="A281">
        <v>278</v>
      </c>
      <c r="B281">
        <f>'Cleaned Data'!M279</f>
        <v>738548.42</v>
      </c>
      <c r="C281">
        <f>'Multiple Regression'!K310</f>
        <v>715396.26016775251</v>
      </c>
      <c r="D281">
        <f>'Multiple Regression'!L310</f>
        <v>23152.159832247533</v>
      </c>
      <c r="E281" t="str">
        <f>'Cleaned Data'!A279</f>
        <v>STR-1070</v>
      </c>
      <c r="F281" t="str">
        <f>'Cleaned Data'!C279</f>
        <v>South</v>
      </c>
      <c r="G281" t="str">
        <f>'Cleaned Data'!D279</f>
        <v>Residential</v>
      </c>
    </row>
    <row r="282" spans="1:7">
      <c r="A282">
        <v>279</v>
      </c>
      <c r="B282">
        <f>'Cleaned Data'!M280</f>
        <v>756619.77</v>
      </c>
      <c r="C282">
        <f>'Multiple Regression'!K311</f>
        <v>765237.71287587204</v>
      </c>
      <c r="D282">
        <f>'Multiple Regression'!L311</f>
        <v>-8617.9428758720169</v>
      </c>
      <c r="E282" t="str">
        <f>'Cleaned Data'!A280</f>
        <v>STR-1070</v>
      </c>
      <c r="F282" t="str">
        <f>'Cleaned Data'!C280</f>
        <v>South</v>
      </c>
      <c r="G282" t="str">
        <f>'Cleaned Data'!D280</f>
        <v>Residential</v>
      </c>
    </row>
    <row r="283" spans="1:7">
      <c r="A283">
        <v>280</v>
      </c>
      <c r="B283">
        <f>'Cleaned Data'!M281</f>
        <v>761122.42</v>
      </c>
      <c r="C283">
        <f>'Multiple Regression'!K312</f>
        <v>795128.91334525368</v>
      </c>
      <c r="D283">
        <f>'Multiple Regression'!L312</f>
        <v>-34006.493345253635</v>
      </c>
      <c r="E283" t="str">
        <f>'Cleaned Data'!A281</f>
        <v>STR-1070</v>
      </c>
      <c r="F283" t="str">
        <f>'Cleaned Data'!C281</f>
        <v>South</v>
      </c>
      <c r="G283" t="str">
        <f>'Cleaned Data'!D281</f>
        <v>Residential</v>
      </c>
    </row>
    <row r="284" spans="1:7">
      <c r="A284">
        <v>281</v>
      </c>
      <c r="B284">
        <f>'Cleaned Data'!M282</f>
        <v>524899.56999999995</v>
      </c>
      <c r="C284">
        <f>'Multiple Regression'!K313</f>
        <v>600640.05215985375</v>
      </c>
      <c r="D284">
        <f>'Multiple Regression'!L313</f>
        <v>-75740.482159853796</v>
      </c>
      <c r="E284" t="str">
        <f>'Cleaned Data'!A282</f>
        <v>STR-1071</v>
      </c>
      <c r="F284" t="str">
        <f>'Cleaned Data'!C282</f>
        <v>South</v>
      </c>
      <c r="G284" t="str">
        <f>'Cleaned Data'!D282</f>
        <v>High Street</v>
      </c>
    </row>
    <row r="285" spans="1:7">
      <c r="A285">
        <v>282</v>
      </c>
      <c r="B285">
        <f>'Cleaned Data'!M283</f>
        <v>555557.77</v>
      </c>
      <c r="C285">
        <f>'Multiple Regression'!K314</f>
        <v>596989.90680644917</v>
      </c>
      <c r="D285">
        <f>'Multiple Regression'!L314</f>
        <v>-41432.136806449154</v>
      </c>
      <c r="E285" t="str">
        <f>'Cleaned Data'!A283</f>
        <v>STR-1071</v>
      </c>
      <c r="F285" t="str">
        <f>'Cleaned Data'!C283</f>
        <v>South</v>
      </c>
      <c r="G285" t="str">
        <f>'Cleaned Data'!D283</f>
        <v>High Street</v>
      </c>
    </row>
    <row r="286" spans="1:7">
      <c r="A286">
        <v>283</v>
      </c>
      <c r="B286">
        <f>'Cleaned Data'!M284</f>
        <v>714083.68</v>
      </c>
      <c r="C286">
        <f>'Multiple Regression'!K315</f>
        <v>677956.31046558858</v>
      </c>
      <c r="D286">
        <f>'Multiple Regression'!L315</f>
        <v>36127.369534411468</v>
      </c>
      <c r="E286" t="str">
        <f>'Cleaned Data'!A284</f>
        <v>STR-1071</v>
      </c>
      <c r="F286" t="str">
        <f>'Cleaned Data'!C284</f>
        <v>South</v>
      </c>
      <c r="G286" t="str">
        <f>'Cleaned Data'!D284</f>
        <v>High Street</v>
      </c>
    </row>
    <row r="287" spans="1:7">
      <c r="A287">
        <v>284</v>
      </c>
      <c r="B287">
        <f>'Cleaned Data'!M285</f>
        <v>497439.82</v>
      </c>
      <c r="C287">
        <f>'Multiple Regression'!K316</f>
        <v>530456.11185042467</v>
      </c>
      <c r="D287">
        <f>'Multiple Regression'!L316</f>
        <v>-33016.291850424663</v>
      </c>
      <c r="E287" t="str">
        <f>'Cleaned Data'!A285</f>
        <v>STR-1071</v>
      </c>
      <c r="F287" t="str">
        <f>'Cleaned Data'!C285</f>
        <v>South</v>
      </c>
      <c r="G287" t="str">
        <f>'Cleaned Data'!D285</f>
        <v>High Street</v>
      </c>
    </row>
    <row r="288" spans="1:7">
      <c r="A288">
        <v>285</v>
      </c>
      <c r="B288">
        <f>'Cleaned Data'!M286</f>
        <v>636775.66</v>
      </c>
      <c r="C288">
        <f>'Multiple Regression'!K317</f>
        <v>665976.56228211685</v>
      </c>
      <c r="D288">
        <f>'Multiple Regression'!L317</f>
        <v>-29200.902282116818</v>
      </c>
      <c r="E288" t="str">
        <f>'Cleaned Data'!A286</f>
        <v>STR-1072</v>
      </c>
      <c r="F288" t="str">
        <f>'Cleaned Data'!C286</f>
        <v>West</v>
      </c>
      <c r="G288" t="str">
        <f>'Cleaned Data'!D286</f>
        <v>Residential</v>
      </c>
    </row>
    <row r="289" spans="1:7">
      <c r="A289">
        <v>286</v>
      </c>
      <c r="B289">
        <f>'Cleaned Data'!M287</f>
        <v>633009.53</v>
      </c>
      <c r="C289">
        <f>'Multiple Regression'!K318</f>
        <v>631613.24193842569</v>
      </c>
      <c r="D289">
        <f>'Multiple Regression'!L318</f>
        <v>1396.2880615743343</v>
      </c>
      <c r="E289" t="str">
        <f>'Cleaned Data'!A287</f>
        <v>STR-1072</v>
      </c>
      <c r="F289" t="str">
        <f>'Cleaned Data'!C287</f>
        <v>West</v>
      </c>
      <c r="G289" t="str">
        <f>'Cleaned Data'!D287</f>
        <v>Residential</v>
      </c>
    </row>
    <row r="290" spans="1:7">
      <c r="A290">
        <v>287</v>
      </c>
      <c r="B290">
        <f>'Cleaned Data'!M288</f>
        <v>609949</v>
      </c>
      <c r="C290">
        <f>'Multiple Regression'!K319</f>
        <v>614868.84101524355</v>
      </c>
      <c r="D290">
        <f>'Multiple Regression'!L319</f>
        <v>-4919.8410152435536</v>
      </c>
      <c r="E290" t="str">
        <f>'Cleaned Data'!A288</f>
        <v>STR-1072</v>
      </c>
      <c r="F290" t="str">
        <f>'Cleaned Data'!C288</f>
        <v>West</v>
      </c>
      <c r="G290" t="str">
        <f>'Cleaned Data'!D288</f>
        <v>Residential</v>
      </c>
    </row>
    <row r="291" spans="1:7">
      <c r="A291">
        <v>288</v>
      </c>
      <c r="B291">
        <f>'Cleaned Data'!M289</f>
        <v>548103.69999999995</v>
      </c>
      <c r="C291">
        <f>'Multiple Regression'!K320</f>
        <v>588817.96554928995</v>
      </c>
      <c r="D291">
        <f>'Multiple Regression'!L320</f>
        <v>-40714.265549289994</v>
      </c>
      <c r="E291" t="str">
        <f>'Cleaned Data'!A289</f>
        <v>STR-1072</v>
      </c>
      <c r="F291" t="str">
        <f>'Cleaned Data'!C289</f>
        <v>West</v>
      </c>
      <c r="G291" t="str">
        <f>'Cleaned Data'!D289</f>
        <v>Residential</v>
      </c>
    </row>
    <row r="292" spans="1:7">
      <c r="A292">
        <v>289</v>
      </c>
      <c r="B292">
        <f>'Cleaned Data'!M290</f>
        <v>729424.42</v>
      </c>
      <c r="C292">
        <f>'Multiple Regression'!K321</f>
        <v>752041.50666440977</v>
      </c>
      <c r="D292">
        <f>'Multiple Regression'!L321</f>
        <v>-22617.086664409726</v>
      </c>
      <c r="E292" t="str">
        <f>'Cleaned Data'!A290</f>
        <v>STR-1073</v>
      </c>
      <c r="F292" t="str">
        <f>'Cleaned Data'!C290</f>
        <v>East</v>
      </c>
      <c r="G292" t="str">
        <f>'Cleaned Data'!D290</f>
        <v>Residential</v>
      </c>
    </row>
    <row r="293" spans="1:7">
      <c r="A293">
        <v>290</v>
      </c>
      <c r="B293">
        <f>'Cleaned Data'!M291</f>
        <v>696261.49</v>
      </c>
      <c r="C293">
        <f>'Multiple Regression'!K322</f>
        <v>728261.27813193097</v>
      </c>
      <c r="D293">
        <f>'Multiple Regression'!L322</f>
        <v>-31999.788131930982</v>
      </c>
      <c r="E293" t="str">
        <f>'Cleaned Data'!A291</f>
        <v>STR-1073</v>
      </c>
      <c r="F293" t="str">
        <f>'Cleaned Data'!C291</f>
        <v>East</v>
      </c>
      <c r="G293" t="str">
        <f>'Cleaned Data'!D291</f>
        <v>Residential</v>
      </c>
    </row>
    <row r="294" spans="1:7">
      <c r="A294">
        <v>291</v>
      </c>
      <c r="B294">
        <f>'Cleaned Data'!M292</f>
        <v>813316.71</v>
      </c>
      <c r="C294">
        <f>'Multiple Regression'!K323</f>
        <v>739197.08200765133</v>
      </c>
      <c r="D294">
        <f>'Multiple Regression'!L323</f>
        <v>74119.627992348629</v>
      </c>
      <c r="E294" t="str">
        <f>'Cleaned Data'!A292</f>
        <v>STR-1073</v>
      </c>
      <c r="F294" t="str">
        <f>'Cleaned Data'!C292</f>
        <v>East</v>
      </c>
      <c r="G294" t="str">
        <f>'Cleaned Data'!D292</f>
        <v>Residential</v>
      </c>
    </row>
    <row r="295" spans="1:7">
      <c r="A295">
        <v>292</v>
      </c>
      <c r="B295">
        <f>'Cleaned Data'!M293</f>
        <v>702068.92</v>
      </c>
      <c r="C295">
        <f>'Multiple Regression'!K324</f>
        <v>674402.86698939616</v>
      </c>
      <c r="D295">
        <f>'Multiple Regression'!L324</f>
        <v>27666.053010603879</v>
      </c>
      <c r="E295" t="str">
        <f>'Cleaned Data'!A293</f>
        <v>STR-1073</v>
      </c>
      <c r="F295" t="str">
        <f>'Cleaned Data'!C293</f>
        <v>East</v>
      </c>
      <c r="G295" t="str">
        <f>'Cleaned Data'!D293</f>
        <v>Residential</v>
      </c>
    </row>
    <row r="296" spans="1:7">
      <c r="A296">
        <v>293</v>
      </c>
      <c r="B296">
        <f>'Cleaned Data'!M294</f>
        <v>546223.69999999995</v>
      </c>
      <c r="C296">
        <f>'Multiple Regression'!K325</f>
        <v>582233.25171794428</v>
      </c>
      <c r="D296">
        <f>'Multiple Regression'!L325</f>
        <v>-36009.551717944327</v>
      </c>
      <c r="E296" t="str">
        <f>'Cleaned Data'!A294</f>
        <v>STR-1074</v>
      </c>
      <c r="F296" t="str">
        <f>'Cleaned Data'!C294</f>
        <v>West</v>
      </c>
      <c r="G296" t="str">
        <f>'Cleaned Data'!D294</f>
        <v>High Street</v>
      </c>
    </row>
    <row r="297" spans="1:7">
      <c r="A297">
        <v>294</v>
      </c>
      <c r="B297">
        <f>'Cleaned Data'!M295</f>
        <v>533121.26</v>
      </c>
      <c r="C297">
        <f>'Multiple Regression'!K326</f>
        <v>527776.78570393636</v>
      </c>
      <c r="D297">
        <f>'Multiple Regression'!L326</f>
        <v>5344.4742960636504</v>
      </c>
      <c r="E297" t="str">
        <f>'Cleaned Data'!A295</f>
        <v>STR-1074</v>
      </c>
      <c r="F297" t="str">
        <f>'Cleaned Data'!C295</f>
        <v>West</v>
      </c>
      <c r="G297" t="str">
        <f>'Cleaned Data'!D295</f>
        <v>High Street</v>
      </c>
    </row>
    <row r="298" spans="1:7">
      <c r="A298">
        <v>295</v>
      </c>
      <c r="B298">
        <f>'Cleaned Data'!M296</f>
        <v>498970.32</v>
      </c>
      <c r="C298">
        <f>'Multiple Regression'!K327</f>
        <v>519488.73494310165</v>
      </c>
      <c r="D298">
        <f>'Multiple Regression'!L327</f>
        <v>-20518.414943101641</v>
      </c>
      <c r="E298" t="str">
        <f>'Cleaned Data'!A296</f>
        <v>STR-1074</v>
      </c>
      <c r="F298" t="str">
        <f>'Cleaned Data'!C296</f>
        <v>West</v>
      </c>
      <c r="G298" t="str">
        <f>'Cleaned Data'!D296</f>
        <v>High Street</v>
      </c>
    </row>
    <row r="299" spans="1:7">
      <c r="A299">
        <v>296</v>
      </c>
      <c r="B299">
        <f>'Cleaned Data'!M297</f>
        <v>487738.26</v>
      </c>
      <c r="C299">
        <f>'Multiple Regression'!K328</f>
        <v>494728.62283463188</v>
      </c>
      <c r="D299">
        <f>'Multiple Regression'!L328</f>
        <v>-6990.3628346318728</v>
      </c>
      <c r="E299" t="str">
        <f>'Cleaned Data'!A297</f>
        <v>STR-1074</v>
      </c>
      <c r="F299" t="str">
        <f>'Cleaned Data'!C297</f>
        <v>West</v>
      </c>
      <c r="G299" t="str">
        <f>'Cleaned Data'!D297</f>
        <v>High Street</v>
      </c>
    </row>
    <row r="300" spans="1:7">
      <c r="A300">
        <v>297</v>
      </c>
      <c r="B300">
        <f>'Cleaned Data'!M298</f>
        <v>668459.37</v>
      </c>
      <c r="C300">
        <f>'Multiple Regression'!K329</f>
        <v>655983.4197100976</v>
      </c>
      <c r="D300">
        <f>'Multiple Regression'!L329</f>
        <v>12475.950289902394</v>
      </c>
      <c r="E300" t="str">
        <f>'Cleaned Data'!A298</f>
        <v>STR-1075</v>
      </c>
      <c r="F300" t="str">
        <f>'Cleaned Data'!C298</f>
        <v>West</v>
      </c>
      <c r="G300" t="str">
        <f>'Cleaned Data'!D298</f>
        <v>High Street</v>
      </c>
    </row>
    <row r="301" spans="1:7">
      <c r="A301">
        <v>298</v>
      </c>
      <c r="B301">
        <f>'Cleaned Data'!M299</f>
        <v>763162.45</v>
      </c>
      <c r="C301">
        <f>'Multiple Regression'!K330</f>
        <v>660669.6209800262</v>
      </c>
      <c r="D301">
        <f>'Multiple Regression'!L330</f>
        <v>102492.82901997375</v>
      </c>
      <c r="E301" t="str">
        <f>'Cleaned Data'!A299</f>
        <v>STR-1075</v>
      </c>
      <c r="F301" t="str">
        <f>'Cleaned Data'!C299</f>
        <v>West</v>
      </c>
      <c r="G301" t="str">
        <f>'Cleaned Data'!D299</f>
        <v>High Street</v>
      </c>
    </row>
    <row r="302" spans="1:7">
      <c r="A302">
        <v>299</v>
      </c>
      <c r="B302">
        <f>'Cleaned Data'!M300</f>
        <v>599017.32999999996</v>
      </c>
      <c r="C302">
        <f>'Multiple Regression'!K331</f>
        <v>613718.50174252316</v>
      </c>
      <c r="D302">
        <f>'Multiple Regression'!L331</f>
        <v>-14701.171742523205</v>
      </c>
      <c r="E302" t="str">
        <f>'Cleaned Data'!A300</f>
        <v>STR-1075</v>
      </c>
      <c r="F302" t="str">
        <f>'Cleaned Data'!C300</f>
        <v>West</v>
      </c>
      <c r="G302" t="str">
        <f>'Cleaned Data'!D300</f>
        <v>High Street</v>
      </c>
    </row>
    <row r="303" spans="1:7">
      <c r="A303">
        <v>300</v>
      </c>
      <c r="B303">
        <f>'Cleaned Data'!M301</f>
        <v>401582.58</v>
      </c>
      <c r="C303">
        <f>'Multiple Regression'!K332</f>
        <v>476701.27486047382</v>
      </c>
      <c r="D303">
        <f>'Multiple Regression'!L332</f>
        <v>-75118.694860473799</v>
      </c>
      <c r="E303" t="str">
        <f>'Cleaned Data'!A301</f>
        <v>STR-1075</v>
      </c>
      <c r="F303" t="str">
        <f>'Cleaned Data'!C301</f>
        <v>West</v>
      </c>
      <c r="G303" t="str">
        <f>'Cleaned Data'!D301</f>
        <v>High Street</v>
      </c>
    </row>
    <row r="304" spans="1:7">
      <c r="A304">
        <v>301</v>
      </c>
      <c r="B304">
        <f>'Cleaned Data'!M302</f>
        <v>703812.99</v>
      </c>
      <c r="C304">
        <f>'Multiple Regression'!K333</f>
        <v>734675.94749993738</v>
      </c>
      <c r="D304">
        <f>'Multiple Regression'!L333</f>
        <v>-30862.957499937387</v>
      </c>
      <c r="E304" t="str">
        <f>'Cleaned Data'!A302</f>
        <v>STR-1076</v>
      </c>
      <c r="F304" t="str">
        <f>'Cleaned Data'!C302</f>
        <v>North</v>
      </c>
      <c r="G304" t="str">
        <f>'Cleaned Data'!D302</f>
        <v>Mall</v>
      </c>
    </row>
    <row r="305" spans="1:7">
      <c r="A305">
        <v>302</v>
      </c>
      <c r="B305">
        <f>'Cleaned Data'!M303</f>
        <v>724346.73</v>
      </c>
      <c r="C305">
        <f>'Multiple Regression'!K334</f>
        <v>736625.88181416225</v>
      </c>
      <c r="D305">
        <f>'Multiple Regression'!L334</f>
        <v>-12279.151814162266</v>
      </c>
      <c r="E305" t="str">
        <f>'Cleaned Data'!A303</f>
        <v>STR-1076</v>
      </c>
      <c r="F305" t="str">
        <f>'Cleaned Data'!C303</f>
        <v>North</v>
      </c>
      <c r="G305" t="str">
        <f>'Cleaned Data'!D303</f>
        <v>Mall</v>
      </c>
    </row>
    <row r="306" spans="1:7">
      <c r="A306">
        <v>303</v>
      </c>
      <c r="B306">
        <f>'Cleaned Data'!M304</f>
        <v>730890.01</v>
      </c>
      <c r="C306">
        <f>'Multiple Regression'!K335</f>
        <v>742080.36481870897</v>
      </c>
      <c r="D306">
        <f>'Multiple Regression'!L335</f>
        <v>-11190.354818708962</v>
      </c>
      <c r="E306" t="str">
        <f>'Cleaned Data'!A304</f>
        <v>STR-1076</v>
      </c>
      <c r="F306" t="str">
        <f>'Cleaned Data'!C304</f>
        <v>North</v>
      </c>
      <c r="G306" t="str">
        <f>'Cleaned Data'!D304</f>
        <v>Mall</v>
      </c>
    </row>
    <row r="307" spans="1:7">
      <c r="A307">
        <v>304</v>
      </c>
      <c r="B307">
        <f>'Cleaned Data'!M305</f>
        <v>780580.95</v>
      </c>
      <c r="C307">
        <f>'Multiple Regression'!K336</f>
        <v>701322.20700265013</v>
      </c>
      <c r="D307">
        <f>'Multiple Regression'!L336</f>
        <v>79258.742997349822</v>
      </c>
      <c r="E307" t="str">
        <f>'Cleaned Data'!A305</f>
        <v>STR-1076</v>
      </c>
      <c r="F307" t="str">
        <f>'Cleaned Data'!C305</f>
        <v>North</v>
      </c>
      <c r="G307" t="str">
        <f>'Cleaned Data'!D305</f>
        <v>Mall</v>
      </c>
    </row>
    <row r="308" spans="1:7">
      <c r="A308">
        <v>305</v>
      </c>
      <c r="B308">
        <f>'Cleaned Data'!M306</f>
        <v>727957.48</v>
      </c>
      <c r="C308">
        <f>'Multiple Regression'!K337</f>
        <v>681460.47419522295</v>
      </c>
      <c r="D308">
        <f>'Multiple Regression'!L337</f>
        <v>46497.005804777029</v>
      </c>
      <c r="E308" t="str">
        <f>'Cleaned Data'!A306</f>
        <v>STR-1077</v>
      </c>
      <c r="F308" t="str">
        <f>'Cleaned Data'!C306</f>
        <v>South</v>
      </c>
      <c r="G308" t="str">
        <f>'Cleaned Data'!D306</f>
        <v>Residential</v>
      </c>
    </row>
    <row r="309" spans="1:7">
      <c r="A309">
        <v>306</v>
      </c>
      <c r="B309">
        <f>'Cleaned Data'!M307</f>
        <v>538376</v>
      </c>
      <c r="C309">
        <f>'Multiple Regression'!K338</f>
        <v>654685.63516405888</v>
      </c>
      <c r="D309">
        <f>'Multiple Regression'!L338</f>
        <v>-116309.63516405888</v>
      </c>
      <c r="E309" t="str">
        <f>'Cleaned Data'!A307</f>
        <v>STR-1077</v>
      </c>
      <c r="F309" t="str">
        <f>'Cleaned Data'!C307</f>
        <v>South</v>
      </c>
      <c r="G309" t="str">
        <f>'Cleaned Data'!D307</f>
        <v>Residential</v>
      </c>
    </row>
    <row r="310" spans="1:7">
      <c r="A310">
        <v>307</v>
      </c>
      <c r="B310">
        <f>'Cleaned Data'!M308</f>
        <v>665342.49</v>
      </c>
      <c r="C310">
        <f>'Multiple Regression'!K339</f>
        <v>649875.03209519328</v>
      </c>
      <c r="D310">
        <f>'Multiple Regression'!L339</f>
        <v>15467.45790480671</v>
      </c>
      <c r="E310" t="str">
        <f>'Cleaned Data'!A308</f>
        <v>STR-1077</v>
      </c>
      <c r="F310" t="str">
        <f>'Cleaned Data'!C308</f>
        <v>South</v>
      </c>
      <c r="G310" t="str">
        <f>'Cleaned Data'!D308</f>
        <v>Residential</v>
      </c>
    </row>
    <row r="311" spans="1:7">
      <c r="A311">
        <v>308</v>
      </c>
      <c r="B311">
        <f>'Cleaned Data'!M309</f>
        <v>651164.18000000005</v>
      </c>
      <c r="C311">
        <f>'Multiple Regression'!K340</f>
        <v>688645.94971219136</v>
      </c>
      <c r="D311">
        <f>'Multiple Regression'!L340</f>
        <v>-37481.769712191308</v>
      </c>
      <c r="E311" t="str">
        <f>'Cleaned Data'!A309</f>
        <v>STR-1077</v>
      </c>
      <c r="F311" t="str">
        <f>'Cleaned Data'!C309</f>
        <v>South</v>
      </c>
      <c r="G311" t="str">
        <f>'Cleaned Data'!D309</f>
        <v>Residential</v>
      </c>
    </row>
    <row r="312" spans="1:7">
      <c r="A312">
        <v>309</v>
      </c>
      <c r="B312">
        <f>'Cleaned Data'!M310</f>
        <v>628538.30000000005</v>
      </c>
      <c r="C312">
        <f>'Multiple Regression'!K341</f>
        <v>649074.35372621485</v>
      </c>
      <c r="D312">
        <f>'Multiple Regression'!L341</f>
        <v>-20536.053726214799</v>
      </c>
      <c r="E312" t="str">
        <f>'Cleaned Data'!A310</f>
        <v>STR-1078</v>
      </c>
      <c r="F312" t="str">
        <f>'Cleaned Data'!C310</f>
        <v>South</v>
      </c>
      <c r="G312" t="str">
        <f>'Cleaned Data'!D310</f>
        <v>High Street</v>
      </c>
    </row>
    <row r="313" spans="1:7">
      <c r="A313">
        <v>310</v>
      </c>
      <c r="B313">
        <f>'Cleaned Data'!M311</f>
        <v>536524.84</v>
      </c>
      <c r="C313">
        <f>'Multiple Regression'!K342</f>
        <v>609344.19820483436</v>
      </c>
      <c r="D313">
        <f>'Multiple Regression'!L342</f>
        <v>-72819.358204834396</v>
      </c>
      <c r="E313" t="str">
        <f>'Cleaned Data'!A311</f>
        <v>STR-1078</v>
      </c>
      <c r="F313" t="str">
        <f>'Cleaned Data'!C311</f>
        <v>South</v>
      </c>
      <c r="G313" t="str">
        <f>'Cleaned Data'!D311</f>
        <v>High Street</v>
      </c>
    </row>
    <row r="314" spans="1:7">
      <c r="A314">
        <v>311</v>
      </c>
      <c r="B314">
        <f>'Cleaned Data'!M312</f>
        <v>621677.30000000005</v>
      </c>
      <c r="C314">
        <f>'Multiple Regression'!K343</f>
        <v>646211.206050187</v>
      </c>
      <c r="D314">
        <f>'Multiple Regression'!L343</f>
        <v>-24533.906050186954</v>
      </c>
      <c r="E314" t="str">
        <f>'Cleaned Data'!A312</f>
        <v>STR-1078</v>
      </c>
      <c r="F314" t="str">
        <f>'Cleaned Data'!C312</f>
        <v>South</v>
      </c>
      <c r="G314" t="str">
        <f>'Cleaned Data'!D312</f>
        <v>High Street</v>
      </c>
    </row>
    <row r="315" spans="1:7">
      <c r="A315">
        <v>312</v>
      </c>
      <c r="B315">
        <f>'Cleaned Data'!M313</f>
        <v>771129.07</v>
      </c>
      <c r="C315">
        <f>'Multiple Regression'!K344</f>
        <v>758339.19330672326</v>
      </c>
      <c r="D315">
        <f>'Multiple Regression'!L344</f>
        <v>12789.876693276688</v>
      </c>
      <c r="E315" t="str">
        <f>'Cleaned Data'!A313</f>
        <v>STR-1078</v>
      </c>
      <c r="F315" t="str">
        <f>'Cleaned Data'!C313</f>
        <v>South</v>
      </c>
      <c r="G315" t="str">
        <f>'Cleaned Data'!D313</f>
        <v>High Street</v>
      </c>
    </row>
    <row r="316" spans="1:7">
      <c r="A316">
        <v>313</v>
      </c>
      <c r="B316">
        <f>'Cleaned Data'!M314</f>
        <v>702052.47</v>
      </c>
      <c r="C316">
        <f>'Multiple Regression'!K345</f>
        <v>690946.7401232759</v>
      </c>
      <c r="D316">
        <f>'Multiple Regression'!L345</f>
        <v>11105.729876724072</v>
      </c>
      <c r="E316" t="str">
        <f>'Cleaned Data'!A314</f>
        <v>STR-1079</v>
      </c>
      <c r="F316" t="str">
        <f>'Cleaned Data'!C314</f>
        <v>North</v>
      </c>
      <c r="G316" t="str">
        <f>'Cleaned Data'!D314</f>
        <v>Residential</v>
      </c>
    </row>
    <row r="317" spans="1:7">
      <c r="A317">
        <v>314</v>
      </c>
      <c r="B317">
        <f>'Cleaned Data'!M315</f>
        <v>688368.46</v>
      </c>
      <c r="C317">
        <f>'Multiple Regression'!K346</f>
        <v>711961.73552545079</v>
      </c>
      <c r="D317">
        <f>'Multiple Regression'!L346</f>
        <v>-23593.275525450823</v>
      </c>
      <c r="E317" t="str">
        <f>'Cleaned Data'!A315</f>
        <v>STR-1079</v>
      </c>
      <c r="F317" t="str">
        <f>'Cleaned Data'!C315</f>
        <v>North</v>
      </c>
      <c r="G317" t="str">
        <f>'Cleaned Data'!D315</f>
        <v>Residential</v>
      </c>
    </row>
    <row r="318" spans="1:7">
      <c r="A318">
        <v>315</v>
      </c>
      <c r="B318">
        <f>'Cleaned Data'!M316</f>
        <v>712375.77</v>
      </c>
      <c r="C318">
        <f>'Multiple Regression'!K347</f>
        <v>675067.10341317055</v>
      </c>
      <c r="D318">
        <f>'Multiple Regression'!L347</f>
        <v>37308.666586829466</v>
      </c>
      <c r="E318" t="str">
        <f>'Cleaned Data'!A316</f>
        <v>STR-1079</v>
      </c>
      <c r="F318" t="str">
        <f>'Cleaned Data'!C316</f>
        <v>North</v>
      </c>
      <c r="G318" t="str">
        <f>'Cleaned Data'!D316</f>
        <v>Residential</v>
      </c>
    </row>
    <row r="319" spans="1:7">
      <c r="A319">
        <v>316</v>
      </c>
      <c r="B319">
        <f>'Cleaned Data'!M317</f>
        <v>844710.67</v>
      </c>
      <c r="C319">
        <f>'Multiple Regression'!K348</f>
        <v>797386.31204683124</v>
      </c>
      <c r="D319">
        <f>'Multiple Regression'!L348</f>
        <v>47324.357953168801</v>
      </c>
      <c r="E319" t="str">
        <f>'Cleaned Data'!A317</f>
        <v>STR-1079</v>
      </c>
      <c r="F319" t="str">
        <f>'Cleaned Data'!C317</f>
        <v>North</v>
      </c>
      <c r="G319" t="str">
        <f>'Cleaned Data'!D317</f>
        <v>Residential</v>
      </c>
    </row>
    <row r="320" spans="1:7">
      <c r="A320">
        <v>317</v>
      </c>
      <c r="B320">
        <f>'Cleaned Data'!M318</f>
        <v>620264.19999999995</v>
      </c>
      <c r="C320">
        <f>'Multiple Regression'!K349</f>
        <v>669970.95229737216</v>
      </c>
      <c r="D320">
        <f>'Multiple Regression'!L349</f>
        <v>-49706.752297372208</v>
      </c>
      <c r="E320" t="str">
        <f>'Cleaned Data'!A318</f>
        <v>STR-1080</v>
      </c>
      <c r="F320" t="str">
        <f>'Cleaned Data'!C318</f>
        <v>East</v>
      </c>
      <c r="G320" t="str">
        <f>'Cleaned Data'!D318</f>
        <v>Residential</v>
      </c>
    </row>
    <row r="321" spans="1:7">
      <c r="A321">
        <v>318</v>
      </c>
      <c r="B321">
        <f>'Cleaned Data'!M319</f>
        <v>536845.42000000004</v>
      </c>
      <c r="C321">
        <f>'Multiple Regression'!K350</f>
        <v>525091.60272248904</v>
      </c>
      <c r="D321">
        <f>'Multiple Regression'!L350</f>
        <v>11753.817277511</v>
      </c>
      <c r="E321" t="str">
        <f>'Cleaned Data'!A319</f>
        <v>STR-1080</v>
      </c>
      <c r="F321" t="str">
        <f>'Cleaned Data'!C319</f>
        <v>East</v>
      </c>
      <c r="G321" t="str">
        <f>'Cleaned Data'!D319</f>
        <v>Residential</v>
      </c>
    </row>
    <row r="322" spans="1:7">
      <c r="A322">
        <v>319</v>
      </c>
      <c r="B322">
        <f>'Cleaned Data'!M320</f>
        <v>726776.22</v>
      </c>
      <c r="C322">
        <f>'Multiple Regression'!K351</f>
        <v>750114.74699912395</v>
      </c>
      <c r="D322">
        <f>'Multiple Regression'!L351</f>
        <v>-23338.526999123977</v>
      </c>
      <c r="E322" t="str">
        <f>'Cleaned Data'!A320</f>
        <v>STR-1080</v>
      </c>
      <c r="F322" t="str">
        <f>'Cleaned Data'!C320</f>
        <v>East</v>
      </c>
      <c r="G322" t="str">
        <f>'Cleaned Data'!D320</f>
        <v>Residential</v>
      </c>
    </row>
    <row r="323" spans="1:7">
      <c r="A323">
        <v>320</v>
      </c>
      <c r="B323">
        <f>'Cleaned Data'!M321</f>
        <v>559660.84</v>
      </c>
      <c r="C323">
        <f>'Multiple Regression'!K352</f>
        <v>611901.55990307254</v>
      </c>
      <c r="D323">
        <f>'Multiple Regression'!L352</f>
        <v>-52240.719903072575</v>
      </c>
      <c r="E323" t="str">
        <f>'Cleaned Data'!A321</f>
        <v>STR-1080</v>
      </c>
      <c r="F323" t="str">
        <f>'Cleaned Data'!C321</f>
        <v>East</v>
      </c>
      <c r="G323" t="str">
        <f>'Cleaned Data'!D321</f>
        <v>Residential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store_performance-Original Data</vt:lpstr>
      <vt:lpstr>Cleaned Data</vt:lpstr>
      <vt:lpstr>Dummy Variables</vt:lpstr>
      <vt:lpstr>Simple Regression</vt:lpstr>
      <vt:lpstr>Multiple Regression</vt:lpstr>
      <vt:lpstr>Model Comparison</vt:lpstr>
      <vt:lpstr>Residual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., Lakshmi S R (Global Order Management Operations)</dc:creator>
  <cp:lastModifiedBy>., Lakshmi S R (Global Order Management Operations)</cp:lastModifiedBy>
  <dcterms:created xsi:type="dcterms:W3CDTF">2026-06-27T11:59:11Z</dcterms:created>
  <dcterms:modified xsi:type="dcterms:W3CDTF">2026-06-27T20:36:28Z</dcterms:modified>
</cp:coreProperties>
</file>